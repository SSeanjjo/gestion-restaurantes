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zación de Requerimientos" sheetId="1" state="visible" r:id="rId3"/>
    <sheet name="Requisitos No Funcionales" sheetId="2" state="visible" r:id="rId4"/>
    <sheet name="Interfaces y Restricciones" sheetId="3" state="visible" r:id="rId5"/>
    <sheet name="Matriz de Trazabilidad" sheetId="4" state="visible" r:id="rId6"/>
    <sheet name="Actividades de IR" sheetId="5" state="visible" r:id="rId7"/>
    <sheet name="Resumen" sheetId="6" state="visible" r:id="rId8"/>
    <sheet name="Historial de Cambios" sheetId="7" state="visible" r:id="rId9"/>
  </sheets>
  <definedNames>
    <definedName function="false" hidden="false" localSheetId="4" name="_xlnm.Print_Titles" vbProcedure="false">'Actividades de IR'!$4:$4</definedName>
    <definedName function="false" hidden="false" localSheetId="6" name="_xlnm.Print_Titles" vbProcedure="false">'Historial de Cambios'!$4:$4</definedName>
    <definedName function="false" hidden="false" localSheetId="2" name="_xlnm.Print_Titles" vbProcedure="false">'Interfaces y Restricciones'!$4:$4</definedName>
    <definedName function="false" hidden="false" localSheetId="3" name="_xlnm.Print_Titles" vbProcedure="false">'Matriz de Trazabilidad'!$4:$4</definedName>
    <definedName function="false" hidden="false" localSheetId="0" name="_xlnm.Print_Titles" vbProcedure="false">'Priorización de Requerimientos'!$4:$4</definedName>
    <definedName function="false" hidden="true" localSheetId="0" name="_xlnm._FilterDatabase" vbProcedure="false">'Priorización de Requerimientos'!$A$4:$AC$25</definedName>
    <definedName function="false" hidden="false" localSheetId="1" name="_xlnm.Print_Titles" vbProcedure="false">'Requisitos No Funcionales'!$4:$4</definedName>
    <definedName function="false" hidden="false" localSheetId="5" name="_xlnm.Print_Titles" vbProcedure="false">Resumen!$4:$4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<sst xmlns="http://schemas.openxmlformats.org/spreadsheetml/2006/main" count="1114" uniqueCount="646">
  <si>
    <t xml:space="preserve">PLAN VIVO DE REQUISITOS — INGENIERÍA DE SOFTWARE II · V3 (CU-01 Gestionar Pedido + CU-02 Cobro y Cierre de Caja)</t>
  </si>
  <si>
    <t xml:space="preserve">Trazabilidad ISO/IEC/IEEE 29148 → Funcionalidad → Refinamiento → Product Backlog / Jira → Diseño → Código → Prueba · v0.3 · 19/10/2026</t>
  </si>
  <si>
    <t xml:space="preserve">ID Funcionalidad</t>
  </si>
  <si>
    <t xml:space="preserve">FUNCIONALIDAD</t>
  </si>
  <si>
    <t xml:space="preserve">Requisito de Negocio (BR)</t>
  </si>
  <si>
    <t xml:space="preserve">Requisito de Stakeholder (StR)</t>
  </si>
  <si>
    <t xml:space="preserve">Requisito del Sistema (SyR)</t>
  </si>
  <si>
    <t xml:space="preserve">Requisito del Software (SWR)</t>
  </si>
  <si>
    <t xml:space="preserve">Verificación</t>
  </si>
  <si>
    <t xml:space="preserve">Descripción</t>
  </si>
  <si>
    <t xml:space="preserve">Comentarios del cliente</t>
  </si>
  <si>
    <t xml:space="preserve">Aprobado</t>
  </si>
  <si>
    <t xml:space="preserve">Prioridad (calculada)</t>
  </si>
  <si>
    <t xml:space="preserve">Indispensable</t>
  </si>
  <si>
    <t xml:space="preserve">Esfuerzo</t>
  </si>
  <si>
    <t xml:space="preserve">Afecta la Arquitectura</t>
  </si>
  <si>
    <t xml:space="preserve">Complejidad</t>
  </si>
  <si>
    <t xml:space="preserve">Ambiguo</t>
  </si>
  <si>
    <t xml:space="preserve">Completo</t>
  </si>
  <si>
    <t xml:space="preserve">Estable</t>
  </si>
  <si>
    <t xml:space="preserve">PBI / User Story</t>
  </si>
  <si>
    <t xml:space="preserve">Clave Jira</t>
  </si>
  <si>
    <t xml:space="preserve">Estado de refinamiento</t>
  </si>
  <si>
    <t xml:space="preserve">Versión</t>
  </si>
  <si>
    <t xml:space="preserve">Última actualización</t>
  </si>
  <si>
    <t xml:space="preserve">Tipo de requisito</t>
  </si>
  <si>
    <t xml:space="preserve">Caso de uso</t>
  </si>
  <si>
    <t xml:space="preserve">Componente de diseño</t>
  </si>
  <si>
    <t xml:space="preserve">Código fuente (backend/src/main/java/co/edu/uniquindio/comanda, frontend/src/app)</t>
  </si>
  <si>
    <t xml:space="preserve">Prueba</t>
  </si>
  <si>
    <t xml:space="preserve">Estado de implementación</t>
  </si>
  <si>
    <t xml:space="preserve">F-01</t>
  </si>
  <si>
    <t xml:space="preserve">Seleccionar mesa y consultar su pedido activo</t>
  </si>
  <si>
    <t xml:space="preserve">BR-01: El restaurante debe reducir los errores en la toma de pedidos eliminando la comanda en papel (necesidad §2.3, prioridad Alta).</t>
  </si>
  <si>
    <t xml:space="preserve">StR-01: El mesero necesita identificar rápidamente qué mesas están disponibles, ocupadas o reservadas y consultar el pedido activo de una mesa desde la tablet.</t>
  </si>
  <si>
    <t xml:space="preserve">SyR-01: El sistema deberá mostrar al mesero autenticado el estado de cada mesa (disponible, ocupada, reservada) y, al seleccionar una mesa, su pedido activo si existe.</t>
  </si>
  <si>
    <t xml:space="preserve">SWR-01: La interfaz IU-01 deberá presentar una cuadrícula de 4 columnas con una tarjeta por mesa, coloreada según su estado (disponible: verde claro; ocupada: rojo; seleccionada: verde oscuro) y actualizada en tiempo real por WebSocket; al tocar una tarjeta deberá cargar el detalle del pedido activo (platos, cantidades y estado) en menos de 2 s.</t>
  </si>
  <si>
    <t xml:space="preserve">Demostración + prueba funcional: con 3 mesas en estados distintos la tablet muestra el color correcto de cada una; al cambiar un estado desde otro dispositivo la tarjeta se actualiza sin recargar; al tocar una mesa ocupada se muestra su pedido activo.</t>
  </si>
  <si>
    <t xml:space="preserve">Pasos 1–2 del curso normal de CU-01 (el mesero selecciona la mesa y el sistema muestra su estado). Cubre la operación CONSULTAR del CRUD. Traza: RF-01, RF-15, RD-01, estados E-01 a E-03, IU-01.</t>
  </si>
  <si>
    <t xml:space="preserve">Responde a la necesidad 'Reducir errores en toma de pedidos' (Alta). Colores y distribución según mockup IU-01.</t>
  </si>
  <si>
    <t xml:space="preserve">Sí</t>
  </si>
  <si>
    <t xml:space="preserve">No</t>
  </si>
  <si>
    <t xml:space="preserve">Como mesero, quiero ver el estado de todas las mesas y el pedido activo de la que seleccione, para atender sin confundir mesas ni pedidos.</t>
  </si>
  <si>
    <t xml:space="preserve">EBS-1</t>
  </si>
  <si>
    <t xml:space="preserve">Refinado</t>
  </si>
  <si>
    <t xml:space="preserve">v0.1</t>
  </si>
  <si>
    <t xml:space="preserve">22/09/2026</t>
  </si>
  <si>
    <t xml:space="preserve">Funcional</t>
  </si>
  <si>
    <t xml:space="preserve">CU-01</t>
  </si>
  <si>
    <t xml:space="preserve">MesaController → MesaService → MesaRepository/PedidoRepository</t>
  </si>
  <si>
    <t xml:space="preserve">mesa/MesaService.java; features/mesero</t>
  </si>
  <si>
    <t xml:space="preserve">Prueba de humo (F-01)</t>
  </si>
  <si>
    <t xml:space="preserve">Implementado</t>
  </si>
  <si>
    <t xml:space="preserve">F-02</t>
  </si>
  <si>
    <t xml:space="preserve">Consultar menú disponible por categoría</t>
  </si>
  <si>
    <t xml:space="preserve">BR-01: El restaurante debe reducir los errores en la toma de pedidos eliminando la comanda en papel (necesidad §2.3, prioridad Alta).
BR-03: El restaurante debe controlar en tiempo real el inventario de ingredientes para no ofrecer platos que no se pueden preparar (necesidad §2.3, prioridad Alta).</t>
  </si>
  <si>
    <t xml:space="preserve">StR-02: El mesero necesita ver solo los platos que realmente se pueden preparar, organizados por categoría, para ofrecerlos al cliente sin tener que preguntar a cocina.</t>
  </si>
  <si>
    <t xml:space="preserve">SyR-02: El sistema deberá mostrar el menú organizado por categorías y permitir seleccionar únicamente los platos activos cuyos ingredientes sean suficientes en el inventario.</t>
  </si>
  <si>
    <t xml:space="preserve">SWR-02: El software deberá calcular la disponibilidad de cada plato comparando las cantidades de su receta con el stock actual de cada ingrediente; los platos sin stock se mostrarán deshabilitados (no seleccionables), los suspendidos no se mostrarán, y las pestañas de categoría filtrarán el listado sin recargar la página.</t>
  </si>
  <si>
    <t xml:space="preserve">Prueba: configurar un plato cuyo ingrediente tenga stock menor a la cantidad de la receta → el plato aparece deshabilitado y no puede agregarse; un plato suspendido no aparece; cambiar de categoría filtra la lista correctamente.</t>
  </si>
  <si>
    <t xml:space="preserve">Paso 2 del curso normal de CU-01 (el sistema muestra el menú disponible). Traza: RF-01 (restricción: no se pueden seleccionar platos no disponibles), RF-03, RF-13, RD-02, IU-01.</t>
  </si>
  <si>
    <t xml:space="preserve">Responde a la necesidad 'Controlar inventario de ingredientes' (Alta). Coherente con el estado 'Sin stock' automático del mockup IU-04 y con RF-13 (un plato suspendido no aparece en el menú).</t>
  </si>
  <si>
    <t xml:space="preserve">Como mesero, quiero ver el menú por categorías con solo los platos disponibles, para no ofrecer al cliente algo que la cocina no puede preparar.</t>
  </si>
  <si>
    <t xml:space="preserve">EBS-2</t>
  </si>
  <si>
    <t xml:space="preserve">MenuService + ReglaDisponibilidad (Strategy)</t>
  </si>
  <si>
    <t xml:space="preserve">menu/MenuService.java; menu/DisponibilidadPorReceta.java</t>
  </si>
  <si>
    <t xml:space="preserve">CalculadoraRecetaTest; prueba de humo</t>
  </si>
  <si>
    <t xml:space="preserve">F-03</t>
  </si>
  <si>
    <t xml:space="preserve">Registrar pedido asociado a una mesa</t>
  </si>
  <si>
    <t xml:space="preserve">StR-03: El mesero necesita registrar digitalmente los platos que pide el cliente y asociarlos a su mesa, para evitar pedidos mal anotados o incompletos.</t>
  </si>
  <si>
    <t xml:space="preserve">SyR-03: El sistema deberá permitir al mesero autenticado crear un pedido para una mesa con uno o más platos activos y sus cantidades, registrando fecha, hora y mesero responsable.</t>
  </si>
  <si>
    <t xml:space="preserve">SWR-03: La operación crearPedido(numeroMesa, listaItems) deberá: validar la sesión con rol Mesero; rechazar el pedido si la lista está vacía o si la mesa está 'Ocupada' por otro pedido; crear el Pedido en estado 'Registrado' con la fecha y hora actual y un DetallePedido por ítem; y cambiar la mesa a 'Ocupada', todo en una única transacción.</t>
  </si>
  <si>
    <t xml:space="preserve">Pruebas unitarias y de integración sobre crearPedido: (a) pedido válido → Pedido 'Registrado', N DetallePedido y mesa 'Ocupada'; (b) lista vacía → error; (c) mesa ocupada → error; (d) usuario sin rol Mesero → acceso denegado (HTTP 403).</t>
  </si>
  <si>
    <t xml:space="preserve">Pasos 3–4 del curso normal de CU-01 y Contrato de operación 1 (crearPedido). Cubre la operación CREAR del CRUD. Traza: RF-01, RD-01, RD-02, RD-03, RNF-04, Diagrama de secuencia 1.</t>
  </si>
  <si>
    <t xml:space="preserve">Responde a la necesidad 'Reducir errores en toma de pedidos' (Alta). Sugerencia a validar: permitir observaciones por plato (p. ej. 'sin cebolla'), hoy no contempladas en el SyRS.</t>
  </si>
  <si>
    <t xml:space="preserve">Como mesero, quiero registrar en la tablet los platos que pide el cliente y asociarlos a su mesa, para que el pedido quede completo y sin errores de escritura.</t>
  </si>
  <si>
    <t xml:space="preserve">EBS-3</t>
  </si>
  <si>
    <t xml:space="preserve">PedidoService (Facade) · Contrato 1</t>
  </si>
  <si>
    <t xml:space="preserve">pedido/PedidoService.java#crearPedido</t>
  </si>
  <si>
    <t xml:space="preserve">Prueba de humo (F-03, RD-01)</t>
  </si>
  <si>
    <t xml:space="preserve">F-04</t>
  </si>
  <si>
    <t xml:space="preserve">Modificar pedido antes de confirmarlo</t>
  </si>
  <si>
    <t xml:space="preserve">BR-01: El restaurante debe reducir los errores en la toma de pedidos eliminando la comanda en papel (necesidad §2.3, prioridad Alta).
BR-05: El restaurante debe mejorar la experiencia del cliente con una atención más rápida y sin errores (necesidad §2.3, prioridad Media).</t>
  </si>
  <si>
    <t xml:space="preserve">StR-04: El mesero necesita agregar, quitar o cambiar la cantidad de platos cuando el cliente cambia de opinión antes de enviar el pedido a cocina.</t>
  </si>
  <si>
    <t xml:space="preserve">SyR-04: El sistema deberá permitir editar los ítems de un pedido (agregar, eliminar y cambiar cantidad) mientras no haya sido confirmado, recalculando el resumen del pedido.</t>
  </si>
  <si>
    <t xml:space="preserve">SWR-04: El pie de pantalla de IU-01 deberá mostrar el resumen del pedido en construcción con controles +/– y eliminar por ítem (botones de mínimo 44x44 px, RNF-03); cada cambio recalculará el subtotal en pantalla y, una vez confirmado el pedido, los controles de edición se deshabilitarán.</t>
  </si>
  <si>
    <t xml:space="preserve">Prueba: agregar 3 platos, cambiar la cantidad de uno y eliminar otro → el resumen muestra exactamente los 2 ítems restantes con el subtotal correcto; tras confirmar, los controles de edición no están disponibles.</t>
  </si>
  <si>
    <t xml:space="preserve">Curso alterno 3a de CU-01 (el cliente modifica el pedido antes de confirmarlo). Cubre la operación MODIFICAR del CRUD. Traza: RF-01, RF-06, RNF-03, IU-01.</t>
  </si>
  <si>
    <t xml:space="preserve">El SyRS solo contempla modificar antes de confirmar. Validar con el cliente si se necesita agregar platos a un pedido ya enviado a cocina (p. ej. un postre), lo que cambiaría esta funcionalidad.</t>
  </si>
  <si>
    <t xml:space="preserve">Como mesero, quiero editar los platos del pedido antes de confirmarlo, para reflejar los cambios que pida el cliente sin empezar de nuevo.</t>
  </si>
  <si>
    <t xml:space="preserve">EBS-4</t>
  </si>
  <si>
    <t xml:space="preserve">IU-01 resumen del pedido</t>
  </si>
  <si>
    <t xml:space="preserve">features/mesero/mesero.component.ts</t>
  </si>
  <si>
    <t xml:space="preserve">Prueba manual de interfaz</t>
  </si>
  <si>
    <t xml:space="preserve">F-05</t>
  </si>
  <si>
    <t xml:space="preserve">Validar disponibilidad de ingredientes al confirmar el pedido</t>
  </si>
  <si>
    <t xml:space="preserve">BR-03: El restaurante debe controlar en tiempo real el inventario de ingredientes para no ofrecer platos que no se pueden preparar (necesidad §2.3, prioridad Alta).</t>
  </si>
  <si>
    <t xml:space="preserve">StR-05: El mesero necesita saber, al confirmar, si algún plato ya no se puede preparar, para ofrecer una alternativa al cliente en ese mismo momento.</t>
  </si>
  <si>
    <t xml:space="preserve">SyR-05: El sistema deberá verificar de nuevo contra el inventario la disponibilidad de todos los platos del pedido al confirmarlo y, si alguno no está disponible, rechazar la confirmación indicando el plato afectado.</t>
  </si>
  <si>
    <t xml:space="preserve">SWR-05: Al confirmar, el backend deberá re-consultar el stock dentro de la misma transacción de registro, bloqueando los registros de los ingredientes afectados para que dos pedidos concurrentes no consuman el mismo stock; si la validación falla, responderá con la lista de platos no disponibles y la tablet mostrará una alerta sin perder los demás ítems del pedido.</t>
  </si>
  <si>
    <t xml:space="preserve">Prueba de concurrencia: dos tablets confirman al mismo tiempo pedidos que requieren el último stock de un ingrediente → solo uno se registra y el otro recibe la alerta con el plato afectado; el pedido rechazado conserva sus demás ítems.</t>
  </si>
  <si>
    <t xml:space="preserve">Paso 4 y curso alterno 4a de CU-01 (ingrediente no disponible al confirmar; el mesero propone un plato alternativo). Traza: RF-03 (restricción de concurrencia), RD-02.</t>
  </si>
  <si>
    <t xml:space="preserve">Responde a la necesidad 'Controlar inventario de ingredientes' (Alta). Según el SyRS, la alternativa la propone el mesero; no se exige sugerencia automática.</t>
  </si>
  <si>
    <t xml:space="preserve">Como mesero, quiero que el sistema me avise al confirmar si un plato se quedó sin ingredientes, para ofrecerle otra opción al cliente de inmediato.</t>
  </si>
  <si>
    <t xml:space="preserve">EBS-5</t>
  </si>
  <si>
    <t xml:space="preserve">ConsumoIngredientesPedido (Extract Class) · bloqueo pesimista</t>
  </si>
  <si>
    <t xml:space="preserve">pedido/ConsumoIngredientesPedido.java#reservar</t>
  </si>
  <si>
    <t xml:space="preserve">Prueba de humo (stock insuficiente)</t>
  </si>
  <si>
    <t xml:space="preserve">F-06</t>
  </si>
  <si>
    <t xml:space="preserve">Descontar ingredientes del inventario al confirmar el pedido</t>
  </si>
  <si>
    <t xml:space="preserve">StR-06: El administrador necesita que el inventario se actualice automáticamente con cada pedido, para saber en todo momento qué ingredientes quedan.</t>
  </si>
  <si>
    <t xml:space="preserve">SyR-06: El sistema deberá descontar automáticamente del inventario, al confirmar el pedido, las cantidades de ingredientes definidas en la receta de cada plato multiplicadas por la cantidad pedida.</t>
  </si>
  <si>
    <t xml:space="preserve">SWR-06: El descuento deberá ejecutarse en la misma transacción que registra el pedido (si una de las dos operaciones falla, ninguna se guarda); después del descuento, si algún ingrediente queda en su nivel mínimo o por debajo, se emitirá el evento de alerta de inventario al panel de administración.</t>
  </si>
  <si>
    <t xml:space="preserve">Prueba de integración: pedido de 2 unidades de un plato cuya receta usa 150 g de arroz → el stock de arroz baja exactamente 300 g; al forzar un error después del descuento, ni el pedido ni el descuento quedan guardados; un ingrediente que cruza el mínimo genera la alerta.</t>
  </si>
  <si>
    <t xml:space="preserve">Paso 4 del curso normal de CU-01 ('el sistema registra el pedido y descuenta los ingredientes del inventario'). Traza: RF-05, RF-14.</t>
  </si>
  <si>
    <t xml:space="preserve">El descuento depende de las recetas configuradas por el administrador (CU-03 / CU-04). Queda por definir si al anular un pedido se reintegran los ingredientes (ver F-13).</t>
  </si>
  <si>
    <t xml:space="preserve">Como administrador, quiero que cada pedido confirmado descuente sus ingredientes del inventario, para conocer el stock real sin conteos manuales.</t>
  </si>
  <si>
    <t xml:space="preserve">EBS-6</t>
  </si>
  <si>
    <t xml:space="preserve">ConsumoIngredientesPedido.descontar · MovimientoInventario</t>
  </si>
  <si>
    <t xml:space="preserve">pedido/ConsumoIngredientesPedido.java#descontar</t>
  </si>
  <si>
    <t xml:space="preserve">CalculadoraRecetaTest</t>
  </si>
  <si>
    <t xml:space="preserve">F-07</t>
  </si>
  <si>
    <t xml:space="preserve">Enviar comanda a la pantalla de cocina en tiempo real</t>
  </si>
  <si>
    <t xml:space="preserve">BR-02: El restaurante debe agilizar la comunicación sala-cocina para reducir los tiempos de atención al cliente (necesidad §2.3, prioridad Alta).</t>
  </si>
  <si>
    <t xml:space="preserve">StR-07: El cocinero necesita recibir cada pedido confirmado en su pantalla de inmediato, sin depender de que el mesero lleve la comanda en papel.</t>
  </si>
  <si>
    <t xml:space="preserve">SyR-07: El sistema deberá enviar automáticamente la comanda a la pantalla de cocina al confirmarse el pedido, con número de mesa, platos, cantidades y hora de confirmación.</t>
  </si>
  <si>
    <t xml:space="preserve">SWR-07: El servidor deberá publicar un evento de pedido confirmado por WebSocket (IS-04) a los clientes de cocina suscritos; el tiempo entre la confirmación en la tablet y la visualización en la pantalla de cocina no deberá superar 2,0 s en la red Wi-Fi interna.</t>
  </si>
  <si>
    <t xml:space="preserve">Prueba de desempeño: 50 confirmaciones sobre la red Wi-Fi del restaurante midiendo el tiempo tablet → pantalla de cocina. Criterio: 100 % de comandas recibidas y tiempo máximo ≤ 2,0 s.</t>
  </si>
  <si>
    <t xml:space="preserve">Paso 4 (envío de la comanda) y paso 5 del curso normal de CU-01. Traza: RF-02, RNF-02, IS-04, §3.4 Interfaces de comunicación.</t>
  </si>
  <si>
    <t xml:space="preserve">Responde a la necesidad 'Agilizar comunicación sala-cocina' (Alta). RNF-02 está marcado como crítico.</t>
  </si>
  <si>
    <t xml:space="preserve">Como cocinero, quiero recibir en mi pantalla cada pedido apenas se confirma, para empezar a prepararlo sin esperar la comanda en papel.</t>
  </si>
  <si>
    <t xml:space="preserve">EBS-7</t>
  </si>
  <si>
    <t xml:space="preserve">Eventos + PublicadorTiempoReal (Observer)</t>
  </si>
  <si>
    <t xml:space="preserve">tiemporeal/PublicadorTiempoReal.java</t>
  </si>
  <si>
    <t xml:space="preserve">Prueba de humo (cocina)</t>
  </si>
  <si>
    <t xml:space="preserve">F-08</t>
  </si>
  <si>
    <t xml:space="preserve">Almacenar y reenviar comandas ante pérdida de conexión</t>
  </si>
  <si>
    <t xml:space="preserve">BR-04: El restaurante debe garantizar la continuidad de la operación y no perder pedidos ante fallas de conectividad (§3.4 Interfaces de comunicación).</t>
  </si>
  <si>
    <t xml:space="preserve">StR-08: El administrador necesita que ningún pedido se pierda si la red o la pantalla de cocina se desconectan durante el servicio.</t>
  </si>
  <si>
    <t xml:space="preserve">SyR-08: El sistema deberá almacenar las comandas que no puedan entregarse a la pantalla de cocina y reenviarlas automáticamente, en orden de confirmación, al restablecerse la conexión.</t>
  </si>
  <si>
    <t xml:space="preserve">SWR-08: Cada comanda confirmada quedará registrada en una cola persistente del servidor (tabla entrega_comanda, en la misma transacción del pedido) hasta que la pantalla de cocina confirme su recepción (ACK); las no confirmadas se reenviarán cada 5 s en orden de confirmación y sin duplicados (idempotencia por idPedido) mientras la cocina esté conectada, y al reconectarse la cocina recargará y confirmará todas. La tablet mostrará 'Cocina sin conexión · N comandas en cola' mientras dure la falla. Si es la tablet la que pierde la red, el pedido se guardará en el dispositivo y se reenviará con una clave de idempotencia para no duplicarlo.</t>
  </si>
  <si>
    <t xml:space="preserve">Prueba de resiliencia: desconectar la pantalla de cocina, confirmar 3 pedidos y reconectar → los 3 aparecen en orden de confirmación y sin duplicados; el indicador de conexión refleja la falla mientras dura.</t>
  </si>
  <si>
    <t xml:space="preserve">Modo M-03 'Sin conexión a cocina' y §3.4 (almacenar localmente y reenviar al restablecer la conexión), aplicado al paso 4 de CU-01. Traza: RF-02, M-03, IS-04.</t>
  </si>
  <si>
    <t xml:space="preserve">Conflicto RF-02 vs. M-03 resuelto en la reunión de validación (19/10/2026): prevalece M-03 / §3.4. Almacenamiento en el servidor (outbox con ACK) y, adicionalmente, cola local en la tablet. Se propone ajustar la redacción de RF-02.</t>
  </si>
  <si>
    <t xml:space="preserve">Como administrador, quiero que las comandas se guarden y reenvíen automáticamente si se cae la conexión con cocina, para no perder pedidos en pleno servicio.</t>
  </si>
  <si>
    <t xml:space="preserve">EBS-8</t>
  </si>
  <si>
    <t xml:space="preserve">v0.3</t>
  </si>
  <si>
    <t xml:space="preserve">19/10/2026</t>
  </si>
  <si>
    <t xml:space="preserve">Funcional / Fiabilidad</t>
  </si>
  <si>
    <t xml:space="preserve">ColaComandas + EntregaComanda (Outbox) + PresenciaCocina</t>
  </si>
  <si>
    <t xml:space="preserve">cocina/ColaComandas.java; core/cola-pedidos.service.ts</t>
  </si>
  <si>
    <t xml:space="preserve">ColaComandasTest; prueba de humo (idempotencia)</t>
  </si>
  <si>
    <t xml:space="preserve">F-09</t>
  </si>
  <si>
    <t xml:space="preserve">Visualizar comandas activas y tiempo en cola</t>
  </si>
  <si>
    <t xml:space="preserve">StR-09: El cocinero necesita ver todas las comandas pendientes ordenadas por llegada y cuánto tiempo llevan esperando, para priorizar su preparación.</t>
  </si>
  <si>
    <t xml:space="preserve">SyR-09: El sistema deberá mostrar en la pantalla de cocina las comandas activas ordenadas por hora de llegada, con mesa, platos, estado de cada ítem y tiempo transcurrido desde la confirmación.</t>
  </si>
  <si>
    <t xml:space="preserve">SWR-09: IU-02 deberá presentar una tarjeta por comanda en cuadrícula de 3 columnas, con temporizador actualizado cada segundo y codificado por color (verde &lt; 10 min; ámbar 10–15 min; rojo &gt; 15 min), un punto de estado por ítem (ámbar: pendiente; verde: preparado) y una leyenda de colores; la vista no requerirá autenticación frecuente.</t>
  </si>
  <si>
    <t xml:space="preserve">Inspección de la interfaz contra el mockup IU-02 + prueba: simular comandas con 5, 12 y 20 minutos de antigüedad → se muestran en verde, ámbar y rojo respectivamente y en orden de llegada.</t>
  </si>
  <si>
    <t xml:space="preserve">Paso 5 del curso normal de CU-01 (el cocinero recibe la comanda en pantalla). Traza: RF-02 (cálculo del tiempo en cola), IU-02, IH-02.</t>
  </si>
  <si>
    <t xml:space="preserve">Diseño alineado al mockup IU-02, pensado para lectura a distancia en monitor o TV de cocina.</t>
  </si>
  <si>
    <t xml:space="preserve">Como cocinero, quiero ver las comandas ordenadas por llegada y con su tiempo de espera, para preparar primero las más urgentes.</t>
  </si>
  <si>
    <t xml:space="preserve">EBS-9</t>
  </si>
  <si>
    <t xml:space="preserve">IU-02 Pantalla de cocina</t>
  </si>
  <si>
    <t xml:space="preserve">features/cocina/cocina.component.ts</t>
  </si>
  <si>
    <t xml:space="preserve">F-10</t>
  </si>
  <si>
    <t xml:space="preserve">Marcar plato / pedido como listo en cocina</t>
  </si>
  <si>
    <t xml:space="preserve">StR-10: El cocinero necesita indicar con un solo toque cuándo un plato o pedido está listo, para que el mesero lo recoja sin demoras.</t>
  </si>
  <si>
    <t xml:space="preserve">SyR-10: El sistema deberá permitir al cocinero cambiar el estado del pedido (Registrado → En Preparación → Listo para Servir) y marcar ítems como preparados, respetando la secuencia de estados definida.</t>
  </si>
  <si>
    <t xml:space="preserve">SWR-10: La operación actualizarEstado(idPedido, nuevoEstado) deberá rechazar transiciones que no sigan la secuencia de RD-03 (sin saltos ni retrocesos); el botón 'Marcar como listo' deberá cambiar a 'Listo — notificado' y deshabilitarse tras la primera pulsación para evitar dobles envíos.</t>
  </si>
  <si>
    <t xml:space="preserve">Prueba unitaria de la máquina de estados: las transiciones válidas se aceptan; Registrado → Listo (salto) y Listo → En Preparación (retroceso) se rechazan; pulsar dos veces el botón genera un solo cambio de estado.</t>
  </si>
  <si>
    <t xml:space="preserve">Pasos 5–6 del curso normal de CU-01 y Contrato de operación 2 (actualizarEstado). Traza: RD-03, estados E-04 y E-05, Diagrama de secuencia 2, Diagrama de estados de Pedido.</t>
  </si>
  <si>
    <t xml:space="preserve">Decidido con el cliente: el estado 'En Preparación' lo marca el cocinero con el botón 'Iniciar preparación' (coincide con el Diagrama de secuencia 2).</t>
  </si>
  <si>
    <t xml:space="preserve">Como cocinero, quiero marcar con un toque cuándo un plato está listo, para que el mesero sepa que debe recogerlo.</t>
  </si>
  <si>
    <t xml:space="preserve">EBS-10</t>
  </si>
  <si>
    <t xml:space="preserve">EstadoPedido (máquina de estados) · Contrato 2</t>
  </si>
  <si>
    <t xml:space="preserve">pedido/EstadoPedido.java; pedido/Pedido.java</t>
  </si>
  <si>
    <t xml:space="preserve">EstadoPedidoTest; prueba de humo (RD-03)</t>
  </si>
  <si>
    <t xml:space="preserve">F-11</t>
  </si>
  <si>
    <t xml:space="preserve">Notificar al mesero que el plato está listo</t>
  </si>
  <si>
    <t xml:space="preserve">BR-02: El restaurante debe agilizar la comunicación sala-cocina para reducir los tiempos de atención al cliente (necesidad §2.3, prioridad Alta).
BR-05: El restaurante debe mejorar la experiencia del cliente con una atención más rápida y sin errores (necesidad §2.3, prioridad Media).</t>
  </si>
  <si>
    <t xml:space="preserve">StR-11: El mesero necesita enterarse en su tablet, sin ir a cocina, de que un plato de sus mesas está listo para servir.</t>
  </si>
  <si>
    <t xml:space="preserve">SyR-11: El sistema deberá notificar al mesero responsable cuando un plato de su pedido se marque como listo, indicando mesa y plato, y reenviar la alerta si no es atendida en 5 minutos.</t>
  </si>
  <si>
    <t xml:space="preserve">SWR-11: Al pasar un ítem o pedido a 'Listo para Servir', el servidor deberá enviar un evento WebSocket a la tablet del mesero asignado, que lo mostrará en la barra de notificación bajo el encabezado (mesa + descripción del plato); la notificación persistirá hasta que el mesero marque el plato como servido y se repetirá cada 5 minutos mientras no sea atendida.</t>
  </si>
  <si>
    <t xml:space="preserve">Prueba: marcar un plato como listo en cocina → la tablet del mesero asignado muestra la notificación con mesa y plato, y las demás tablets no la reciben; si no se atiende, la alerta se repite a los 5 minutos.</t>
  </si>
  <si>
    <t xml:space="preserve">Paso 6 y curso alterno 6a de CU-01 (reenvío de la alerta a los 5 minutos). Traza: RF-04, estado E-05, IU-01 (barra de notificación de plato listo).</t>
  </si>
  <si>
    <t xml:space="preserve">Cambio aplicado: la redacción de RF-04 se corrigió en el SyRS (la notificación ocurre cuando el plato se marca como LISTO, no como servido).</t>
  </si>
  <si>
    <t xml:space="preserve">Como mesero, quiero recibir una notificación en la tablet cuando un plato de mis mesas esté listo, para servirlo caliente sin ir a preguntar a cocina.</t>
  </si>
  <si>
    <t xml:space="preserve">EBS-11</t>
  </si>
  <si>
    <t xml:space="preserve">PedidoMapper.notificacion + RecordatorioPlatosListos</t>
  </si>
  <si>
    <t xml:space="preserve">pedido/RecordatorioPlatosListos.java</t>
  </si>
  <si>
    <t xml:space="preserve">Prueba de humo (notificación)</t>
  </si>
  <si>
    <t xml:space="preserve">F-12</t>
  </si>
  <si>
    <t xml:space="preserve">Marcar pedido como servido</t>
  </si>
  <si>
    <t xml:space="preserve">BR-05: El restaurante debe mejorar la experiencia del cliente con una atención más rápida y sin errores (necesidad §2.3, prioridad Media).</t>
  </si>
  <si>
    <t xml:space="preserve">StR-12: El mesero necesita registrar que entregó los platos, para cerrar la notificación y saber qué falta por servir.</t>
  </si>
  <si>
    <t xml:space="preserve">SyR-12: El sistema deberá permitir al mesero marcar como servido un plato o pedido en estado 'Listo para Servir', cambiándolo a 'Entregado' y retirando la notificación asociada.</t>
  </si>
  <si>
    <t xml:space="preserve">SWR-12: La acción 'Marcar como servido' de IU-01 solo estará habilitada para ítems en estado 'Listo para Servir'; al ejecutarla se registrará la hora de entrega y, cuando todos los ítems estén servidos, el pedido pasará a 'Entregado' y quedará disponible para cobro en el módulo de caja (IU-03).</t>
  </si>
  <si>
    <t xml:space="preserve">Prueba: marcar como servido un ítem listo → desaparece su notificación y se registra la hora; con todos los ítems servidos, el pedido queda 'Entregado' y aparece en la lista de mesas con cuenta del módulo de caja.</t>
  </si>
  <si>
    <t xml:space="preserve">Paso 7 del curso normal de CU-01 (el mesero recoge el plato y lo sirve). Traza: RF-04 (restricción), RD-03, RD-05, estado E-06. Es la entrada a CU-02 Cobro y Cierre de Caja.</t>
  </si>
  <si>
    <t xml:space="preserve">Cierra el flujo de CU-01 y habilita el cobro en CU-02.</t>
  </si>
  <si>
    <t xml:space="preserve">Como mesero, quiero marcar los platos como servidos, para cerrar la notificación y dejar el pedido listo para cobrar.</t>
  </si>
  <si>
    <t xml:space="preserve">EBS-12</t>
  </si>
  <si>
    <t xml:space="preserve">PedidoService.marcarServido</t>
  </si>
  <si>
    <t xml:space="preserve">pedido/PedidoService.java#marcarServido</t>
  </si>
  <si>
    <t xml:space="preserve">Prueba de humo</t>
  </si>
  <si>
    <t xml:space="preserve">F-13</t>
  </si>
  <si>
    <t xml:space="preserve">Anular pedido</t>
  </si>
  <si>
    <t xml:space="preserve">StR-13: El mesero necesita anular un pedido cuando el cliente cancela o se retira, para que no se prepare ni se cobre.</t>
  </si>
  <si>
    <t xml:space="preserve">SyR-13: El sistema deberá permitir anular un pedido registrado indicando el motivo, retirar la comanda de la pantalla de cocina, excluirlo del total a cobrar y liberar la mesa si no tiene otro pedido activo.</t>
  </si>
  <si>
    <t xml:space="preserve">SWR-13: La anulación solo se permitirá a un pedido en estado 'Registrado' (la cocina aún no empezó a prepararlo), por el mesero que lo tomó o por un administrador; deberá registrar usuario, fecha, hora y motivo (auditoría), enviar el evento de anulación a cocina por WebSocket, reintegrar al inventario los ingredientes descontados y liberar la mesa.</t>
  </si>
  <si>
    <t xml:space="preserve">Prueba: anular un pedido 'Registrado' → desaparece de cocina, se reintegra el inventario y la mesa queda 'Disponible'; intentar anular uno 'Facturado' → rechazado; la anulación queda en el historial con motivo y usuario.</t>
  </si>
  <si>
    <t xml:space="preserve">Operación ANULAR del CRUD declarada en el propósito de CU-01, sin curso alterno detallado en el SyRS. Traza: CU-01 (propósito), RF-05, RF-06 (cancelaciones), RF-18.</t>
  </si>
  <si>
    <t xml:space="preserve">Validado con el cliente: anulan el mesero dueño del pedido o el administrador; solo en 'Registrado'; se reintegra el inventario. Se agregó el estado 'Anulado' (CANCELADO) al diagrama de estados de Pedido.</t>
  </si>
  <si>
    <t xml:space="preserve">Como mesero, quiero anular un pedido cuando el cliente cancela, para que no se prepare ni se le cobre.</t>
  </si>
  <si>
    <t xml:space="preserve">EBS-13</t>
  </si>
  <si>
    <t xml:space="preserve">PedidoService.anular + ConsumoIngredientesPedido.reintegrar</t>
  </si>
  <si>
    <t xml:space="preserve">pedido/PedidoService.java#anular</t>
  </si>
  <si>
    <t xml:space="preserve">EstadoPedidoTest (anulación)</t>
  </si>
  <si>
    <t xml:space="preserve">F-14</t>
  </si>
  <si>
    <t xml:space="preserve">Solicitar la cuenta de la mesa</t>
  </si>
  <si>
    <t xml:space="preserve">BR-06: El restaurante debe eliminar los errores en el cobro calculando automáticamente la cuenta de cada mesa (necesidad §2.3, prioridad Alta).
BR-05: El restaurante debe mejorar la experiencia del cliente con una atención más rápida y sin errores (necesidad §2.3, prioridad Media).</t>
  </si>
  <si>
    <t xml:space="preserve">StR-14: El mesero necesita avisar a caja que el cliente pidió la cuenta sin tener que desplazarse.</t>
  </si>
  <si>
    <t xml:space="preserve">SyR-14: El sistema deberá permitir al mesero marcar un pedido activo como 'cuenta solicitada' (estado E-07) y mostrarlo destacado en el módulo de caja.</t>
  </si>
  <si>
    <t xml:space="preserve">SWR-14: La operación solicitarCuenta(idPedido) solo aplicará a pedidos activos, registrará la hora de la primera solicitud (repetirla no la cambia) y emitirá el evento /topic/caja para que IU-03 actualice la lista sin recargar; la cuenta solicitada aparecerá primero en la lista de caja.</t>
  </si>
  <si>
    <t xml:space="preserve">Prueba: solicitar la cuenta de un pedido 'Entregado' → aparece primero en IU-03 con la etiqueta 'Cuenta solicitada'; solicitarla de un pedido facturado → error 409.</t>
  </si>
  <si>
    <t xml:space="preserve">Paso 1 del curso normal de CU-02 (el cliente solicita la cuenta al mesero). Estado E-07. Traza: RF-06, IU-01, IU-03.</t>
  </si>
  <si>
    <t xml:space="preserve">El SyRS no indica quién registra la solicitud; se acordó que la marca el mesero desde la tablet.</t>
  </si>
  <si>
    <t xml:space="preserve">Como mesero, quiero avisar desde la tablet que una mesa pidió la cuenta, para que caja la prepare sin que yo vaya hasta allá.</t>
  </si>
  <si>
    <t xml:space="preserve">EBS-14</t>
  </si>
  <si>
    <t xml:space="preserve">CU-02</t>
  </si>
  <si>
    <t xml:space="preserve">PedidoService.solicitarCuenta · evento CajaActualizada</t>
  </si>
  <si>
    <t xml:space="preserve">pedido/Pedido.java#solicitarCuenta</t>
  </si>
  <si>
    <t xml:space="preserve">Prueba de humo (F-14)</t>
  </si>
  <si>
    <t xml:space="preserve">F-15</t>
  </si>
  <si>
    <t xml:space="preserve">Consultar la cuenta con el total calculado</t>
  </si>
  <si>
    <t xml:space="preserve">BR-06: El restaurante debe eliminar los errores en el cobro calculando automáticamente la cuenta de cada mesa (necesidad §2.3, prioridad Alta).</t>
  </si>
  <si>
    <t xml:space="preserve">StR-15: El cajero necesita ver el detalle y el total de cada mesa sin usar calculadora.</t>
  </si>
  <si>
    <t xml:space="preserve">SyR-15: El sistema deberá calcular automáticamente el total a cobrar sumando los platos del pedido de la mesa y mostrar su desglose con el impuesto.</t>
  </si>
  <si>
    <t xml:space="preserve">SWR-15: IU-03 listará las mesas con pedido activo (mesa, platos, estado y total) y, al seleccionar una, mostrará cada ítem con cantidad y precio unitario congelado al tomar el pedido, la base gravable, el impuesto al consumo (8 %, incluido en el precio del menú) y el total, redondeando a 2 decimales (HALF_UP).</t>
  </si>
  <si>
    <t xml:space="preserve">Prueba unitaria (DesgloseTest): total $28.000 → base $25.925,93 + INC $2.074,07; inspección de IU-03 contra el mockup; el total coincide con la suma de los platos.</t>
  </si>
  <si>
    <t xml:space="preserve">Pasos 2–3 del curso normal de CU-02. Traza: RF-06, IU-03, Contrato 3 (cálculo de subtotal e impuesto).</t>
  </si>
  <si>
    <t xml:space="preserve">El Contrato 3 menciona IVA 19 %; para restaurantes aplica el impuesto nacional al consumo (8 %). Tarifa configurable; pendiente confirmación del contador del restaurante.</t>
  </si>
  <si>
    <t xml:space="preserve">Como cajero, quiero ver el desglose y el total de la mesa calculados por el sistema, para cobrar sin errores.</t>
  </si>
  <si>
    <t xml:space="preserve">EBS-15</t>
  </si>
  <si>
    <t xml:space="preserve">CajaService.detalle + Desglose (objeto de valor)</t>
  </si>
  <si>
    <t xml:space="preserve">caja/Desglose.java; features/caja</t>
  </si>
  <si>
    <t xml:space="preserve">DesgloseTest</t>
  </si>
  <si>
    <t xml:space="preserve">F-16</t>
  </si>
  <si>
    <t xml:space="preserve">Registrar pago en efectivo con cálculo de cambio</t>
  </si>
  <si>
    <t xml:space="preserve">StR-16: El cajero necesita registrar el dinero recibido y saber de inmediato cuánto cambio devolver.</t>
  </si>
  <si>
    <t xml:space="preserve">SyR-16: El sistema deberá registrar cada pago en efectivo con fecha, hora, monto, monto recibido, cambio y factura asociada.</t>
  </si>
  <si>
    <t xml:space="preserve">SWR-16: El campo 'Monto recibido' de IU-03 calculará el cambio en tiempo real; el backend rechazará (400 EFECTIVO_INSUFICIENTE) un monto recibido menor que el monto a pagar y guardará la transacción en la tabla pago vinculada a la factura (RF-09).</t>
  </si>
  <si>
    <t xml:space="preserve">Prueba unitaria (ProcesadoresPagoTest): cobro de $28.000 con $50.000 → cambio $22.000; con $20.000 → rechazo.</t>
  </si>
  <si>
    <t xml:space="preserve">Pasos 3–6 del curso normal de CU-02. Traza: RF-09, RNF-04 (solo cajero y administrador), IU-03.</t>
  </si>
  <si>
    <t xml:space="preserve">Responde a la necesidad 'Eliminar errores en el cobro' (Alta).</t>
  </si>
  <si>
    <t xml:space="preserve">Como cajero, quiero que el sistema calcule el cambio del pago en efectivo, para no equivocarme al devolverlo.</t>
  </si>
  <si>
    <t xml:space="preserve">EBS-16</t>
  </si>
  <si>
    <t xml:space="preserve">ProcesadorPago → PagoEfectivo (Strategy)</t>
  </si>
  <si>
    <t xml:space="preserve">caja/pago/PagoEfectivo.java</t>
  </si>
  <si>
    <t xml:space="preserve">ProcesadoresPagoTest</t>
  </si>
  <si>
    <t xml:space="preserve">F-17</t>
  </si>
  <si>
    <t xml:space="preserve">Pago con tarjeta mediante la pasarela bancaria</t>
  </si>
  <si>
    <t xml:space="preserve">StR-17: El cajero necesita cobrar con tarjeta y saber si el banco aprobó la transacción antes de entregar la factura.</t>
  </si>
  <si>
    <t xml:space="preserve">SyR-17: El sistema deberá enviar la transacción con tarjeta a la entidad bancaria, esperar su aprobación antes de facturar y, si es rechazada, notificar al cajero para reintentar o cambiar el medio de pago.</t>
  </si>
  <si>
    <t xml:space="preserve">SWR-17: A través del puerto PasarelaPago (IS-01, REST/HTTPS) se enviarán el monto, los últimos 4 dígitos y la referencia del pedido; un rechazo responderá 402 PAGO_RECHAZADO sin registrar la factura y IU-03 permitirá reintentar o cambiar de medio. El sistema nunca recibirá ni almacenará el número completo de la tarjeta.</t>
  </si>
  <si>
    <t xml:space="preserve">Prueba con el adaptador de pruebas: tarjeta terminada en 0000 → rechazo y la cuenta sigue abierta; terminada en 4242 → aprobación con código de autorización guardado en el pago.</t>
  </si>
  <si>
    <t xml:space="preserve">Paso 5 y curso alterno 5a de CU-02. Traza: RF-08, IS-01, IH-05, §3.5 Interfaces del sistema.</t>
  </si>
  <si>
    <t xml:space="preserve">Falta definir la entidad bancaria y su API; se implementó un adaptador simulado (patrón Adapter) que se reemplaza sin tocar la lógica de cobro.</t>
  </si>
  <si>
    <t xml:space="preserve">Como cajero, quiero cobrar con tarjeta a través de la pasarela del banco, para registrar el pago aprobado sin digitarlo dos veces.</t>
  </si>
  <si>
    <t xml:space="preserve">EBS-17</t>
  </si>
  <si>
    <t xml:space="preserve">Funcional / Interfaz</t>
  </si>
  <si>
    <t xml:space="preserve">PagoTarjeta + PasarelaPago (Adapter)</t>
  </si>
  <si>
    <t xml:space="preserve">caja/pago/PagoTarjeta.java; caja/pago/PasarelaPagoSimulada.java</t>
  </si>
  <si>
    <t xml:space="preserve">ProcesadoresPagoTest; prueba de humo (5a)</t>
  </si>
  <si>
    <t xml:space="preserve">Implementado (pasarela simulada)</t>
  </si>
  <si>
    <t xml:space="preserve">F-18</t>
  </si>
  <si>
    <t xml:space="preserve">Dividir el pago entre efectivo y tarjeta</t>
  </si>
  <si>
    <t xml:space="preserve">StR-18: El cajero necesita aceptar que el cliente pague una parte en efectivo y el resto con tarjeta.</t>
  </si>
  <si>
    <t xml:space="preserve">SyR-18: El sistema deberá permitir registrar un cobro en varias partes con distintos métodos de pago cuya suma sea igual al total de la cuenta.</t>
  </si>
  <si>
    <t xml:space="preserve">SWR-18: Una solicitud de cobro tendrá de 1 a 4 partes y su suma deberá ser igual al total (400 PAGOS_NO_CUADRAN); se procesarán primero las partes con tarjeta y, si una parte o la factura falla después de aprobar otra, se reversarán las autorizaciones ya aprobadas (compensación) y no se guardará nada.</t>
  </si>
  <si>
    <t xml:space="preserve">Prueba unitaria (CajaServiceTest): $10.000 en efectivo + $18.000 con tarjeta → factura con 2 pagos; pagos que no suman el total → rechazo sin llamar a la pasarela.</t>
  </si>
  <si>
    <t xml:space="preserve">Curso alterno 4a de CU-02. Traza: RF-08, RF-09.</t>
  </si>
  <si>
    <t xml:space="preserve">Responde al curso alterno 4a; validar con el cliente si se requiere dividir entre varias tarjetas (hoy se permite).</t>
  </si>
  <si>
    <t xml:space="preserve">Como cajero, quiero dividir el pago entre efectivo y tarjeta, para atender al cliente que no tiene todo en efectivo.</t>
  </si>
  <si>
    <t xml:space="preserve">EBS-18</t>
  </si>
  <si>
    <t xml:space="preserve">CajaService.procesarPagos (compensación)</t>
  </si>
  <si>
    <t xml:space="preserve">caja/CajaService.java#cobrar</t>
  </si>
  <si>
    <t xml:space="preserve">CajaServiceTest</t>
  </si>
  <si>
    <t xml:space="preserve">F-19</t>
  </si>
  <si>
    <t xml:space="preserve">Generar factura electrónica y liberar la mesa</t>
  </si>
  <si>
    <t xml:space="preserve">BR-07: El restaurante debe cumplir la obligación de facturación electrónica de la DIAN en cada venta (necesidad §2.3, prioridad Alta; Resolución 000042 de 2020).</t>
  </si>
  <si>
    <t xml:space="preserve">StR-19: El administrador necesita que cada venta tenga una factura electrónica válida ante la DIAN para evitar sanciones.</t>
  </si>
  <si>
    <t xml:space="preserve">SyR-19: Al registrar el pago, el sistema deberá generar la factura electrónica en el formato exigido por la DIAN, enviarla para validación, almacenar el número y el CUFE, pasar el pedido a 'Facturado' y liberar la mesa.</t>
  </si>
  <si>
    <t xml:space="preserve">SWR-19: registrarFactura(idPedido, pagos) se ejecutará en una transacción: solo para pedidos 'Entregado' sin factura previa (RD-05); numeración prefijo-consecutivo; CUFE SHA-384 según el Anexo Técnico; validación síncrona por el puerto ServicioFacturacionElectronica (IS-02). Si la DIAN rechaza, se deshace todo y se reversan los pagos con tarjeta; tras el commit, la mesa pasa a 'Disponible' en todas las tablets por WebSocket.</t>
  </si>
  <si>
    <t xml:space="preserve">Prueba unitaria (CajaServiceTest y CalculadoraCufeTest) + prueba de humo: factura FEBS-n con CUFE de 96 caracteres y estado ACEPTADA; la mesa queda 'Disponible'; un segundo cobro del mismo pedido → 409 YA_FACTURADO.</t>
  </si>
  <si>
    <t xml:space="preserve">Pasos 6–7 de CU-02, Contrato 3, Diagrama de secuencia 3. Traza: RF-07, RD-05, RNF-01, CU-05 paso 9.</t>
  </si>
  <si>
    <t xml:space="preserve">La integración real con la DIAN requiere certificado digital, habilitación y XML UBL 2.1; en esta versión se usa un adaptador simulado del ambiente de pruebas.</t>
  </si>
  <si>
    <t xml:space="preserve">Como administrador, quiero que cada cobro genere su factura electrónica validada por la DIAN, para cumplir la ley sin hacerlo a mano.</t>
  </si>
  <si>
    <t xml:space="preserve">EBS-19</t>
  </si>
  <si>
    <t xml:space="preserve">Funcional / Legal</t>
  </si>
  <si>
    <t xml:space="preserve">Factura.Builder + CalculadoraCufe + ServicioFacturacionElectronica (Adapter) · Contrato 3</t>
  </si>
  <si>
    <t xml:space="preserve">caja/Factura.java; caja/dian/*</t>
  </si>
  <si>
    <t xml:space="preserve">CajaServiceTest; CalculadoraCufeTest; prueba de humo</t>
  </si>
  <si>
    <t xml:space="preserve">Implementado (DIAN simulada)</t>
  </si>
  <si>
    <t xml:space="preserve">F-20</t>
  </si>
  <si>
    <t xml:space="preserve">Conciliar y ejecutar el cierre de caja</t>
  </si>
  <si>
    <t xml:space="preserve">BR-08: El restaurante debe generar el reporte de ventas diario y conciliar la caja sin sumas manuales (necesidad §2.3, prioridad Alta).</t>
  </si>
  <si>
    <t xml:space="preserve">StR-20: El administrador necesita cerrar la caja al final del día sin sumar a mano y detectar cualquier descuadre.</t>
  </si>
  <si>
    <t xml:space="preserve">SyR-20: El sistema deberá comparar las facturas generadas con las transacciones registradas y el efectivo, alertar las inconsistencias, generar el reporte de ventas del día (transacciones, total, total por medio de pago) y enviarlo a la DIAN; después del cierre no se aceptarán pedidos ni cobros (M-02 / E-08).</t>
  </si>
  <si>
    <t xml:space="preserve">SWR-20: Solo el rol Administrador ejecutará el cierre (RF-10). La vista previa mostrará conteos, totales por método e inconsistencias (factura sin CUFE, factura cuyos pagos no cuadran, pedidos activos sin facturar, efectivo contado distinto al registrado); con inconsistencias el cierre exigirá confirmación explícita (409 INCONSISTENCIAS). Habrá un único cierre por fecha y se almacenará el comprobante de envío del reporte.</t>
  </si>
  <si>
    <t xml:space="preserve">Prueba unitaria (ResumenJornadaTest) + prueba de humo: el cajero recibe 403; el administrador cierra y obtiene comprobante; un pedido posterior → 409 CAJA_CERRADA.</t>
  </si>
  <si>
    <t xml:space="preserve">Pasos 8–10 y curso alterno 9a de CU-02; pasos 8–10 de CU-06. Traza: RF-10, RF-11, RNF-04, M-02, E-08.</t>
  </si>
  <si>
    <t xml:space="preserve">RF-12 (sugerir pedido de abastecimiento) queda fuera de esta versión.</t>
  </si>
  <si>
    <t xml:space="preserve">Como administrador, quiero que el sistema concilie la caja y envíe el reporte del día, para cerrar la jornada sin descuadres.</t>
  </si>
  <si>
    <t xml:space="preserve">EBS-20</t>
  </si>
  <si>
    <t xml:space="preserve">CU-02 / CU-06</t>
  </si>
  <si>
    <t xml:space="preserve">CierreCajaService (JornadaOperativa) + ResumenJornada</t>
  </si>
  <si>
    <t xml:space="preserve">caja/CierreCajaService.java; caja/ResumenJornada.java</t>
  </si>
  <si>
    <t xml:space="preserve">ResumenJornadaTest; prueba de humo</t>
  </si>
  <si>
    <t xml:space="preserve">F-21</t>
  </si>
  <si>
    <t xml:space="preserve">Consultar inventario, alertas de mínimo y registrar entradas</t>
  </si>
  <si>
    <t xml:space="preserve">StR-21: El administrador necesita ver el stock de cada ingrediente, enterarse cuando llega al mínimo y registrar la mercancía que llega.</t>
  </si>
  <si>
    <t xml:space="preserve">SyR-21: El sistema deberá listar los ingredientes con stock y nivel mínimo, alertar al administrador cuando un ingrediente llegue al mínimo y permitir registrar entradas de inventario.</t>
  </si>
  <si>
    <t xml:space="preserve">SWR-21: IU-04 mostrará la tabla de ingredientes con su estado (OK / Mínimo), la franja ámbar de alerta actualizada por /topic/inventario/alertas y un control para sumar una entrada mayor que cero, que quedará en movimiento_inventario con fecha, hora y usuario.</t>
  </si>
  <si>
    <t xml:space="preserve">Prueba: registrar una entrada de 500 g de chicharrón → el stock aumenta, el movimiento queda auditado y la alerta desaparece si supera el mínimo; cantidad 0 → rechazo.</t>
  </si>
  <si>
    <t xml:space="preserve">Pasos 1–4 y curso alterno 8a de CU-04 (alcance parcial). Traza: RF-14, RF-17 (parcial), IU-04.</t>
  </si>
  <si>
    <t xml:space="preserve">Falta registrar el proveedor y las pérdidas (RF-17) y crear ingredientes desde la interfaz (CU-04 pasos 5–8).</t>
  </si>
  <si>
    <t xml:space="preserve">Como administrador, quiero ver el inventario con alertas y sumar las entradas de mercancía, para no quedarme sin ingredientes.</t>
  </si>
  <si>
    <t xml:space="preserve">EBS-21</t>
  </si>
  <si>
    <t xml:space="preserve">CU-04</t>
  </si>
  <si>
    <t xml:space="preserve">InventarioService · IU-04</t>
  </si>
  <si>
    <t xml:space="preserve">inventario/InventarioService.java; features/admin</t>
  </si>
  <si>
    <t xml:space="preserve">Implementado (parcial CU-04)</t>
  </si>
  <si>
    <t xml:space="preserve">Notas:</t>
  </si>
  <si>
    <t xml:space="preserve">• Esfuerzo y Complejidad en escala 1 (bajo) a 5 (alto), estimados por el equipo en el refinamiento.</t>
  </si>
  <si>
    <t xml:space="preserve">• Prioridad (calculada) = Must si es Indispensable; Should si Esfuerzo + Complejidad ≤ 4; en otro caso Could (criterio del equipo, ajustable).</t>
  </si>
  <si>
    <t xml:space="preserve">• Columnas en verde: trazabilidad hacia diseño, código y pruebas agregada en la V3 (pirámide BR → Feature → SWR → CU → Diseño → Código y pruebas).</t>
  </si>
  <si>
    <t xml:space="preserve">• Cambios de la V3: F-08, F-10, F-11 y F-13 pasan a 'Refinado' tras la validación con el cliente; se agregan F-14 a F-21 (CU-02 y CU-04 parcial).</t>
  </si>
  <si>
    <t xml:space="preserve">Requisitos no funcionales y atributos de calidad</t>
  </si>
  <si>
    <t xml:space="preserve">Clasificación según ISO/IEC 25010 · requisitos transversales del sistema</t>
  </si>
  <si>
    <t xml:space="preserve">ID</t>
  </si>
  <si>
    <t xml:space="preserve">Atributo de calidad (ISO/IEC 25010)</t>
  </si>
  <si>
    <t xml:space="preserve">Subcaracterística</t>
  </si>
  <si>
    <t xml:space="preserve">Requisito</t>
  </si>
  <si>
    <t xml:space="preserve">Métrica / criterio de aceptación</t>
  </si>
  <si>
    <t xml:space="preserve">Decisión de diseño / implementación</t>
  </si>
  <si>
    <t xml:space="preserve">Crítico</t>
  </si>
  <si>
    <t xml:space="preserve">Estado</t>
  </si>
  <si>
    <t xml:space="preserve">RNF-01</t>
  </si>
  <si>
    <t xml:space="preserve">Seguridad</t>
  </si>
  <si>
    <t xml:space="preserve">Confidencialidad / Integridad</t>
  </si>
  <si>
    <t xml:space="preserve">Encriptar de extremo a extremo (HTTPS/TLS 1.3) todas las transmisiones hacia los servidores de la DIAN y la pasarela.</t>
  </si>
  <si>
    <t xml:space="preserve">100 % del tráfico externo por TLS ≥ 1.2 (objetivo 1.3).</t>
  </si>
  <si>
    <t xml:space="preserve">Inspección de configuración del despliegue (Nginx/adaptadores).</t>
  </si>
  <si>
    <t xml:space="preserve">Los adaptadores externos son los únicos puntos de salida; TLS se termina en Nginx en producción.</t>
  </si>
  <si>
    <t xml:space="preserve">Pendiente de despliegue</t>
  </si>
  <si>
    <t xml:space="preserve">RNF-02</t>
  </si>
  <si>
    <t xml:space="preserve">Eficiencia de desempeño</t>
  </si>
  <si>
    <t xml:space="preserve">Comportamiento temporal</t>
  </si>
  <si>
    <t xml:space="preserve">La comanda debe llegar de la tablet a la pantalla de cocina en ≤ 2,0 s en la Wi-Fi interna.</t>
  </si>
  <si>
    <t xml:space="preserve">Percentil 100 ≤ 2,0 s en 50 envíos.</t>
  </si>
  <si>
    <t xml:space="preserve">Prueba de desempeño (SWR-07).</t>
  </si>
  <si>
    <t xml:space="preserve">WebSocket/STOMP con publicación inmediata tras el commit; broker en memoria.</t>
  </si>
  <si>
    <t xml:space="preserve">Implementado (medición pendiente en el local)</t>
  </si>
  <si>
    <t xml:space="preserve">RNF-03</t>
  </si>
  <si>
    <t xml:space="preserve">Usabilidad</t>
  </si>
  <si>
    <t xml:space="preserve">Accesibilidad / operabilidad</t>
  </si>
  <si>
    <t xml:space="preserve">Botones táctiles de mínimo 44 × 44 px y alto contraste en tablets.</t>
  </si>
  <si>
    <t xml:space="preserve">Todos los controles táctiles ≥ 44 px.</t>
  </si>
  <si>
    <t xml:space="preserve">Inspección de la interfaz.</t>
  </si>
  <si>
    <t xml:space="preserve">Tokens de diseño compartidos (styles.css) y min-height 44 px en botones.</t>
  </si>
  <si>
    <t xml:space="preserve">RNF-04</t>
  </si>
  <si>
    <t xml:space="preserve">Autenticidad / responsabilidad</t>
  </si>
  <si>
    <t xml:space="preserve">Control de acceso basado en roles (RBAC): reportes y cierre de caja solo para Administrador y Cajero según el caso.</t>
  </si>
  <si>
    <t xml:space="preserve">Toda operación protegida responde 403 a un rol no autorizado; canal WebSocket autenticado.</t>
  </si>
  <si>
    <t xml:space="preserve">Prueba de humo (403) y PoliticaSuscripcionTest.</t>
  </si>
  <si>
    <t xml:space="preserve">JWT HS256; @PreAuthorize por operación; interceptor STOMP con permisos por tópico.</t>
  </si>
  <si>
    <t xml:space="preserve">RNF-05</t>
  </si>
  <si>
    <t xml:space="preserve">Fiabilidad</t>
  </si>
  <si>
    <t xml:space="preserve">Disponibilidad</t>
  </si>
  <si>
    <t xml:space="preserve">Disponibilidad del 99,5 % en el horario 11:00–22:00.</t>
  </si>
  <si>
    <t xml:space="preserve">≤ 3,3 min de caída por día de operación.</t>
  </si>
  <si>
    <t xml:space="preserve">Monitoreo de /actuator/health.</t>
  </si>
  <si>
    <t xml:space="preserve">Contenedores con restart: unless-stopped; healthcheck de base de datos.</t>
  </si>
  <si>
    <t xml:space="preserve">Parcial</t>
  </si>
  <si>
    <t xml:space="preserve">RNF-06</t>
  </si>
  <si>
    <t xml:space="preserve">Portabilidad / Compatibilidad</t>
  </si>
  <si>
    <t xml:space="preserve">Adaptabilidad</t>
  </si>
  <si>
    <t xml:space="preserve">Plataforma 100 % responsive en las últimas versiones de Chrome y Safari.</t>
  </si>
  <si>
    <t xml:space="preserve">Vistas usables entre 360 px y 1920 px de ancho.</t>
  </si>
  <si>
    <t xml:space="preserve">Prueba manual en tablet y escritorio.</t>
  </si>
  <si>
    <t xml:space="preserve">Angular con CSS Grid/Flex y media queries.</t>
  </si>
  <si>
    <t xml:space="preserve">RNF-07</t>
  </si>
  <si>
    <t xml:space="preserve">Mantenibilidad</t>
  </si>
  <si>
    <t xml:space="preserve">Modularidad / analizabilidad / modificabilidad</t>
  </si>
  <si>
    <t xml:space="preserve">Arquitectura limpia y modular; API REST documentada.</t>
  </si>
  <si>
    <t xml:space="preserve">Swagger publicado; cobertura de pruebas reportada; principios SOLID en los módulos nuevos.</t>
  </si>
  <si>
    <t xml:space="preserve">Revisión de código + reporte JaCoCo en CI.</t>
  </si>
  <si>
    <t xml:space="preserve">Monolito modular por paquetes de dominio; patrones Strategy, Adapter, Facade, Observer, Builder.</t>
  </si>
  <si>
    <t xml:space="preserve">RNF-08</t>
  </si>
  <si>
    <t xml:space="preserve">Tolerancia a fallos / recuperabilidad</t>
  </si>
  <si>
    <t xml:space="preserve">Ninguna comanda confirmada se pierde si cae la red o la pantalla de cocina (derivado de BR-04 y M-03).</t>
  </si>
  <si>
    <t xml:space="preserve">0 comandas perdidas y 0 duplicadas en la prueba de resiliencia (SWR-08).</t>
  </si>
  <si>
    <t xml:space="preserve">ColaComandasTest + prueba de humo (idempotencia) + prueba manual de desconexión.</t>
  </si>
  <si>
    <t xml:space="preserve">Outbox con ACK y reenvío; cola local en la tablet con clave de idempotencia.</t>
  </si>
  <si>
    <t xml:space="preserve">RNF-09</t>
  </si>
  <si>
    <t xml:space="preserve">Responsabilidad (no repudio)</t>
  </si>
  <si>
    <t xml:space="preserve">Toda anulación, movimiento de inventario, pago, factura y cierre registra usuario, fecha y hora (auditoría).</t>
  </si>
  <si>
    <t xml:space="preserve">100 % de las operaciones sensibles con usuario y marca de tiempo.</t>
  </si>
  <si>
    <t xml:space="preserve">Inspección de la base de datos.</t>
  </si>
  <si>
    <t xml:space="preserve">Columnas de auditoría en pedido, movimiento_inventario, pago, factura y cierre_caja.</t>
  </si>
  <si>
    <t xml:space="preserve">RNF-10</t>
  </si>
  <si>
    <t xml:space="preserve">Integridad de datos (consistencia transaccional)</t>
  </si>
  <si>
    <t xml:space="preserve">Pedido, descuento de inventario, factura y pagos se confirman o se deshacen juntos.</t>
  </si>
  <si>
    <t xml:space="preserve">Ningún estado intermedio visible tras una falla forzada.</t>
  </si>
  <si>
    <t xml:space="preserve">CajaServiceTest (reverso de tarjeta) y prueba de integración.</t>
  </si>
  <si>
    <t xml:space="preserve">Transacciones @Transactional, bloqueo pesimista y eventos AFTER_COMMIT.</t>
  </si>
  <si>
    <t xml:space="preserve">Requisitos de interfaz y restricciones</t>
  </si>
  <si>
    <t xml:space="preserve">Hardware, software, comunicaciones y entorno de despliegue</t>
  </si>
  <si>
    <t xml:space="preserve">Tipo</t>
  </si>
  <si>
    <t xml:space="preserve">Elemento</t>
  </si>
  <si>
    <t xml:space="preserve">Requisito / restricción</t>
  </si>
  <si>
    <t xml:space="preserve">Protocolo / tecnología</t>
  </si>
  <si>
    <t xml:space="preserve">Implementación v0.3</t>
  </si>
  <si>
    <t xml:space="preserve">IU-01</t>
  </si>
  <si>
    <t xml:space="preserve">Interfaz de usuario</t>
  </si>
  <si>
    <t xml:space="preserve">Tablet del mesero</t>
  </si>
  <si>
    <t xml:space="preserve">Seleccionar mesa, registrar platos y recibir notificación de plato listo.</t>
  </si>
  <si>
    <t xml:space="preserve">Angular · WebSocket</t>
  </si>
  <si>
    <t xml:space="preserve">features/mesero</t>
  </si>
  <si>
    <t xml:space="preserve">IU-02</t>
  </si>
  <si>
    <t xml:space="preserve">Pantalla de cocina</t>
  </si>
  <si>
    <t xml:space="preserve">Comandas por hora de llegada, temporizador y marcar listo.</t>
  </si>
  <si>
    <t xml:space="preserve">features/cocina</t>
  </si>
  <si>
    <t xml:space="preserve">IU-03</t>
  </si>
  <si>
    <t xml:space="preserve">Módulo de caja</t>
  </si>
  <si>
    <t xml:space="preserve">Cuentas, desglose, método de pago y factura.</t>
  </si>
  <si>
    <t xml:space="preserve">Angular · REST</t>
  </si>
  <si>
    <t xml:space="preserve">features/caja (nuevo)</t>
  </si>
  <si>
    <t xml:space="preserve">IU-04</t>
  </si>
  <si>
    <t xml:space="preserve">Panel de administración</t>
  </si>
  <si>
    <t xml:space="preserve">Resumen, inventario con alertas y cierre de caja.</t>
  </si>
  <si>
    <t xml:space="preserve">Angular · REST · WebSocket</t>
  </si>
  <si>
    <t xml:space="preserve">features/admin (nuevo, parcial)</t>
  </si>
  <si>
    <t xml:space="preserve">IH-01</t>
  </si>
  <si>
    <t xml:space="preserve">Hardware</t>
  </si>
  <si>
    <t xml:space="preserve">Tablet Android/iOS</t>
  </si>
  <si>
    <t xml:space="preserve">Navegador moderno y Wi-Fi.</t>
  </si>
  <si>
    <t xml:space="preserve">Chrome / Safari</t>
  </si>
  <si>
    <t xml:space="preserve">Responsive</t>
  </si>
  <si>
    <t xml:space="preserve">IH-02</t>
  </si>
  <si>
    <t xml:space="preserve">Monitor/TV de cocina</t>
  </si>
  <si>
    <t xml:space="preserve">Lectura a distancia; navegador web.</t>
  </si>
  <si>
    <t xml:space="preserve">Chrome</t>
  </si>
  <si>
    <t xml:space="preserve">Tipografía grande y colores</t>
  </si>
  <si>
    <t xml:space="preserve">IH-03</t>
  </si>
  <si>
    <t xml:space="preserve">Computador de caja</t>
  </si>
  <si>
    <t xml:space="preserve">Escritorio o portátil.</t>
  </si>
  <si>
    <t xml:space="preserve">IU-03 / IU-04</t>
  </si>
  <si>
    <t xml:space="preserve">IH-04</t>
  </si>
  <si>
    <t xml:space="preserve">Router Wi-Fi</t>
  </si>
  <si>
    <t xml:space="preserve">Red local entre dispositivos.</t>
  </si>
  <si>
    <t xml:space="preserve">802.11n o superior</t>
  </si>
  <si>
    <t xml:space="preserve">Restricción del entorno</t>
  </si>
  <si>
    <t xml:space="preserve">IH-05</t>
  </si>
  <si>
    <t xml:space="preserve">Datáfono</t>
  </si>
  <si>
    <t xml:space="preserve">Pagos con tarjeta mediante la API del banco.</t>
  </si>
  <si>
    <t xml:space="preserve">API bancaria</t>
  </si>
  <si>
    <t xml:space="preserve">Adaptador PasarelaPago (simulado)</t>
  </si>
  <si>
    <t xml:space="preserve">IS-01</t>
  </si>
  <si>
    <t xml:space="preserve">Software externo</t>
  </si>
  <si>
    <t xml:space="preserve">Pasarela de pago</t>
  </si>
  <si>
    <t xml:space="preserve">Autorizar y reversar transacciones con tarjeta.</t>
  </si>
  <si>
    <t xml:space="preserve">REST / HTTPS</t>
  </si>
  <si>
    <t xml:space="preserve">caja/pago/PasarelaPago (puerto) + PasarelaPagoSimulada</t>
  </si>
  <si>
    <t xml:space="preserve">IS-02</t>
  </si>
  <si>
    <t xml:space="preserve">Servicio DIAN</t>
  </si>
  <si>
    <t xml:space="preserve">Validar facturas (CUFE) y recibir el reporte diario.</t>
  </si>
  <si>
    <t xml:space="preserve">SOAP / HTTPS</t>
  </si>
  <si>
    <t xml:space="preserve">caja/dian/ServicioFacturacionElectronica (puerto) + DianSimulada</t>
  </si>
  <si>
    <t xml:space="preserve">IS-03</t>
  </si>
  <si>
    <t xml:space="preserve">Software interno</t>
  </si>
  <si>
    <t xml:space="preserve">Base de datos relacional</t>
  </si>
  <si>
    <t xml:space="preserve">Fuente única de pedidos, menú, inventario, pagos y usuarios.</t>
  </si>
  <si>
    <t xml:space="preserve">MariaDB 11.4 · JPA/Hibernate · Flyway</t>
  </si>
  <si>
    <t xml:space="preserve">Migraciones V1–V3</t>
  </si>
  <si>
    <t xml:space="preserve">IS-04</t>
  </si>
  <si>
    <t xml:space="preserve">Servidor web de la aplicación</t>
  </si>
  <si>
    <t xml:space="preserve">Sirve las interfaces y expone la API y los eventos.</t>
  </si>
  <si>
    <t xml:space="preserve">HTTPS · WebSocket/STOMP (JWT)</t>
  </si>
  <si>
    <t xml:space="preserve">Spring Boot 3.4 + Nginx</t>
  </si>
  <si>
    <t xml:space="preserve">RC-01</t>
  </si>
  <si>
    <t xml:space="preserve">Restricción</t>
  </si>
  <si>
    <t xml:space="preserve">Entorno de despliegue</t>
  </si>
  <si>
    <t xml:space="preserve">Servidor local o en la nube con Docker.</t>
  </si>
  <si>
    <t xml:space="preserve">Docker Compose v2</t>
  </si>
  <si>
    <t xml:space="preserve">docker-compose.yml</t>
  </si>
  <si>
    <t xml:space="preserve">RC-02</t>
  </si>
  <si>
    <t xml:space="preserve">Plataforma de ejecución</t>
  </si>
  <si>
    <t xml:space="preserve">Java 21 en el backend; Node 22 para compilar el frontend.</t>
  </si>
  <si>
    <t xml:space="preserve">JDK 21 · Angular 19</t>
  </si>
  <si>
    <t xml:space="preserve">Dockerfiles multi-etapa</t>
  </si>
  <si>
    <t xml:space="preserve">RC-03</t>
  </si>
  <si>
    <t xml:space="preserve">Normativa</t>
  </si>
  <si>
    <t xml:space="preserve">Facturación electrónica según Resolución DIAN 000042 de 2020 y Anexo Técnico.</t>
  </si>
  <si>
    <t xml:space="preserve">UBL 2.1 · CUFE SHA-384</t>
  </si>
  <si>
    <t xml:space="preserve">CUFE implementado; XML UBL pendiente</t>
  </si>
  <si>
    <t xml:space="preserve">RC-04</t>
  </si>
  <si>
    <t xml:space="preserve">Datos de tarjetas</t>
  </si>
  <si>
    <t xml:space="preserve">No almacenar el número completo de la tarjeta (buenas prácticas PCI DSS).</t>
  </si>
  <si>
    <t xml:space="preserve">Solo últimos 4 dígitos</t>
  </si>
  <si>
    <t xml:space="preserve">Pago.ultimosDigitos</t>
  </si>
  <si>
    <t xml:space="preserve">Matriz de trazabilidad: Requisitos de negocio (BR) × Funcionalidades (F)</t>
  </si>
  <si>
    <t xml:space="preserve">Una X indica que la funcionalidad responde al requisito de negocio. La última columna verifica completitud (ningún BR sin cubrir).</t>
  </si>
  <si>
    <t xml:space="preserve">Requisito de negocio</t>
  </si>
  <si>
    <t xml:space="preserve">Funcionalidades que lo cubren</t>
  </si>
  <si>
    <t xml:space="preserve">X</t>
  </si>
  <si>
    <t xml:space="preserve">Requisitos de negocio cubiertos por la funcionalidad</t>
  </si>
  <si>
    <t xml:space="preserve">Pirámide de trazabilidad: BR → Feature → SWR → CU → Diseño → Código y pruebas</t>
  </si>
  <si>
    <t xml:space="preserve">Funcionalidad</t>
  </si>
  <si>
    <t xml:space="preserve">SWR</t>
  </si>
  <si>
    <t xml:space="preserve">Código</t>
  </si>
  <si>
    <t xml:space="preserve">Jira</t>
  </si>
  <si>
    <t xml:space="preserve">F-01 Seleccionar mesa y consultar su pedido activo</t>
  </si>
  <si>
    <t xml:space="preserve">BR-01</t>
  </si>
  <si>
    <t xml:space="preserve">SWR-01</t>
  </si>
  <si>
    <t xml:space="preserve">F-02 Consultar menú disponible por categoría</t>
  </si>
  <si>
    <t xml:space="preserve">BR-01, BR-03</t>
  </si>
  <si>
    <t xml:space="preserve">SWR-02</t>
  </si>
  <si>
    <t xml:space="preserve">F-03 Registrar pedido asociado a una mesa</t>
  </si>
  <si>
    <t xml:space="preserve">SWR-03</t>
  </si>
  <si>
    <t xml:space="preserve">F-04 Modificar pedido antes de confirmarlo</t>
  </si>
  <si>
    <t xml:space="preserve">BR-01, BR-05</t>
  </si>
  <si>
    <t xml:space="preserve">SWR-04</t>
  </si>
  <si>
    <t xml:space="preserve">F-05 Validar disponibilidad de ingredientes al confirmar el pedido</t>
  </si>
  <si>
    <t xml:space="preserve">BR-03</t>
  </si>
  <si>
    <t xml:space="preserve">SWR-05</t>
  </si>
  <si>
    <t xml:space="preserve">F-06 Descontar ingredientes del inventario al confirmar el pedido</t>
  </si>
  <si>
    <t xml:space="preserve">SWR-06</t>
  </si>
  <si>
    <t xml:space="preserve">F-07 Enviar comanda a la pantalla de cocina en tiempo real</t>
  </si>
  <si>
    <t xml:space="preserve">BR-02</t>
  </si>
  <si>
    <t xml:space="preserve">SWR-07</t>
  </si>
  <si>
    <t xml:space="preserve">F-08 Almacenar y reenviar comandas ante pérdida de conexión</t>
  </si>
  <si>
    <t xml:space="preserve">BR-04</t>
  </si>
  <si>
    <t xml:space="preserve">SWR-08</t>
  </si>
  <si>
    <t xml:space="preserve">F-09 Visualizar comandas activas y tiempo en cola</t>
  </si>
  <si>
    <t xml:space="preserve">SWR-09</t>
  </si>
  <si>
    <t xml:space="preserve">F-10 Marcar plato / pedido como listo en cocina</t>
  </si>
  <si>
    <t xml:space="preserve">SWR-10</t>
  </si>
  <si>
    <t xml:space="preserve">F-11 Notificar al mesero que el plato está listo</t>
  </si>
  <si>
    <t xml:space="preserve">BR-02, BR-05</t>
  </si>
  <si>
    <t xml:space="preserve">SWR-11</t>
  </si>
  <si>
    <t xml:space="preserve">F-12 Marcar pedido como servido</t>
  </si>
  <si>
    <t xml:space="preserve">BR-05</t>
  </si>
  <si>
    <t xml:space="preserve">SWR-12</t>
  </si>
  <si>
    <t xml:space="preserve">F-13 Anular pedido</t>
  </si>
  <si>
    <t xml:space="preserve">SWR-13</t>
  </si>
  <si>
    <t xml:space="preserve">F-14 Solicitar la cuenta de la mesa</t>
  </si>
  <si>
    <t xml:space="preserve">BR-05, BR-06</t>
  </si>
  <si>
    <t xml:space="preserve">SWR-14</t>
  </si>
  <si>
    <t xml:space="preserve">F-15 Consultar la cuenta con el total calculado</t>
  </si>
  <si>
    <t xml:space="preserve">BR-06</t>
  </si>
  <si>
    <t xml:space="preserve">SWR-15</t>
  </si>
  <si>
    <t xml:space="preserve">F-16 Registrar pago en efectivo con cálculo de cambio</t>
  </si>
  <si>
    <t xml:space="preserve">SWR-16</t>
  </si>
  <si>
    <t xml:space="preserve">F-17 Pago con tarjeta mediante la pasarela bancaria</t>
  </si>
  <si>
    <t xml:space="preserve">SWR-17</t>
  </si>
  <si>
    <t xml:space="preserve">F-18 Dividir el pago entre efectivo y tarjeta</t>
  </si>
  <si>
    <t xml:space="preserve">SWR-18</t>
  </si>
  <si>
    <t xml:space="preserve">F-19 Generar factura electrónica y liberar la mesa</t>
  </si>
  <si>
    <t xml:space="preserve">BR-07</t>
  </si>
  <si>
    <t xml:space="preserve">SWR-19</t>
  </si>
  <si>
    <t xml:space="preserve">F-20 Conciliar y ejecutar el cierre de caja</t>
  </si>
  <si>
    <t xml:space="preserve">BR-08</t>
  </si>
  <si>
    <t xml:space="preserve">SWR-20</t>
  </si>
  <si>
    <t xml:space="preserve">F-21 Consultar inventario, alertas de mínimo y registrar entradas</t>
  </si>
  <si>
    <t xml:space="preserve">SWR-21</t>
  </si>
  <si>
    <t xml:space="preserve">Actividades de ingeniería de requisitos (extracción → análisis → especificación → validación)</t>
  </si>
  <si>
    <t xml:space="preserve">Registro de las actividades realizadas para llegar a la V3 del plan</t>
  </si>
  <si>
    <t xml:space="preserve">Actividad</t>
  </si>
  <si>
    <t xml:space="preserve">Técnica</t>
  </si>
  <si>
    <t xml:space="preserve">Participantes</t>
  </si>
  <si>
    <t xml:space="preserve">Artefactos producidos</t>
  </si>
  <si>
    <t xml:space="preserve">Resultado en la V3</t>
  </si>
  <si>
    <t xml:space="preserve">Fecha</t>
  </si>
  <si>
    <t xml:space="preserve">Extracción (elicitación)</t>
  </si>
  <si>
    <t xml:space="preserve">Entrevista con el administrador y observación del proceso manual (comanda en papel, calculadora, cuaderno de caja); arqueología de documentos (Resolución DIAN 000042, Anexo Técnico).</t>
  </si>
  <si>
    <t xml:space="preserve">Administrador, cajero, mesero, equipo</t>
  </si>
  <si>
    <t xml:space="preserve">Necesidades §2.3 del Student Book; BR-01 a BR-08</t>
  </si>
  <si>
    <t xml:space="preserve">Se identificaron las necesidades de cobro, facturación y cierre que originan CU-02.</t>
  </si>
  <si>
    <t xml:space="preserve">Análisis</t>
  </si>
  <si>
    <t xml:space="preserve">Modelo de dominio, diagramas de estado, análisis de conflictos (RF-02 vs. M-03) y de compromisos (impuesto INC vs. IVA).</t>
  </si>
  <si>
    <t xml:space="preserve">Equipo</t>
  </si>
  <si>
    <t xml:space="preserve">Modelo de dominio, contratos 1–3, diagramas de estado</t>
  </si>
  <si>
    <t xml:space="preserve">Conflicto F-08 resuelto; decisión de impuesto documentada; estado Anulado agregado.</t>
  </si>
  <si>
    <t xml:space="preserve">06/10/2026</t>
  </si>
  <si>
    <t xml:space="preserve">Especificación</t>
  </si>
  <si>
    <t xml:space="preserve">Plantilla SyRS (ISO/IEC/IEEE 29148): BR → StR → SyR → SWR por funcionalidad; historias de usuario en Jira.</t>
  </si>
  <si>
    <t xml:space="preserve">Este plan (hoja Priorización), SyRS, backlog EBS-1 a EBS-21</t>
  </si>
  <si>
    <t xml:space="preserve">F-14 a F-21 especificadas con criterio de verificación.</t>
  </si>
  <si>
    <t xml:space="preserve">13/10/2026</t>
  </si>
  <si>
    <t xml:space="preserve">Validación</t>
  </si>
  <si>
    <t xml:space="preserve">Revisión con el cliente (walkthrough de mockups y demostración del producto), checklist de calidad del requisito (ambiguo, completo, estable).</t>
  </si>
  <si>
    <t xml:space="preserve">Administrador, equipo</t>
  </si>
  <si>
    <t xml:space="preserve">Comentarios del cliente, estado de refinamiento</t>
  </si>
  <si>
    <t xml:space="preserve">F-08, F-10, F-11 y F-13 pasan a Refinado; F-04 sigue inestable (agregar platos a un pedido ya enviado).</t>
  </si>
  <si>
    <t xml:space="preserve">Gestión de cambios</t>
  </si>
  <si>
    <t xml:space="preserve">Matriz de trazabilidad y control de versiones del plan (v0.1 → v0.3).</t>
  </si>
  <si>
    <t xml:space="preserve">Hojas Matriz de Trazabilidad e Historial</t>
  </si>
  <si>
    <t xml:space="preserve">Impacto de cada cambio identificado hasta el código y las pruebas.</t>
  </si>
  <si>
    <t xml:space="preserve">Resumen del plan de requisitos</t>
  </si>
  <si>
    <t xml:space="preserve">Indicadores calculados a partir de la hoja Priorización de Requerimientos</t>
  </si>
  <si>
    <t xml:space="preserve">Indicador</t>
  </si>
  <si>
    <t xml:space="preserve">Valor</t>
  </si>
  <si>
    <t xml:space="preserve">Fórmula / criterio</t>
  </si>
  <si>
    <t xml:space="preserve">Funcionalidades en el plan</t>
  </si>
  <si>
    <t xml:space="preserve">Total de filas F-xx</t>
  </si>
  <si>
    <t xml:space="preserve">Aprobadas por el cliente</t>
  </si>
  <si>
    <t xml:space="preserve">Aprobado = Sí</t>
  </si>
  <si>
    <t xml:space="preserve">Indispensables (Must)</t>
  </si>
  <si>
    <t xml:space="preserve">Indispensable = Sí</t>
  </si>
  <si>
    <t xml:space="preserve">Refinadas</t>
  </si>
  <si>
    <t xml:space="preserve">Estado de refinamiento = Refinado</t>
  </si>
  <si>
    <t xml:space="preserve">En refinamiento / por refinar / cambio</t>
  </si>
  <si>
    <t xml:space="preserve">Funcionalidades − Refinadas</t>
  </si>
  <si>
    <t xml:space="preserve">Afectan la arquitectura</t>
  </si>
  <si>
    <t xml:space="preserve">Afecta la Arquitectura = Sí</t>
  </si>
  <si>
    <t xml:space="preserve">Marcadas como ambiguas</t>
  </si>
  <si>
    <t xml:space="preserve">Ambiguo = Sí</t>
  </si>
  <si>
    <t xml:space="preserve">Esfuerzo total (puntos)</t>
  </si>
  <si>
    <t xml:space="preserve">Suma de Esfuerzo</t>
  </si>
  <si>
    <t xml:space="preserve">Esfuerzo CU-02 (puntos)</t>
  </si>
  <si>
    <t xml:space="preserve">Suma de Esfuerzo con Caso de uso CU-02</t>
  </si>
  <si>
    <t xml:space="preserve">% refinadas</t>
  </si>
  <si>
    <t xml:space="preserve">Refinadas / Funcionalidades</t>
  </si>
  <si>
    <t xml:space="preserve">% aprobadas</t>
  </si>
  <si>
    <t xml:space="preserve">Aprobadas / Funcionalidades</t>
  </si>
  <si>
    <t xml:space="preserve">Historial de cambios del plan</t>
  </si>
  <si>
    <t xml:space="preserve">Control de versiones</t>
  </si>
  <si>
    <t xml:space="preserve">Autor</t>
  </si>
  <si>
    <t xml:space="preserve">Cambios</t>
  </si>
  <si>
    <t xml:space="preserve">S. Lesmes · K. Puerta</t>
  </si>
  <si>
    <t xml:space="preserve">Primera versión: F-01 a F-13 del CU-01 con BR, StR, SyR, SWR, verificación y priorización.</t>
  </si>
  <si>
    <t xml:space="preserve">v0.2</t>
  </si>
  <si>
    <t xml:space="preserve">Implementación de CU-01 en el repositorio; decisiones provisionales de F-08, F-10, F-11 y F-13 registradas en el README.</t>
  </si>
  <si>
    <t xml:space="preserve">Validación con el cliente: F-08, F-10, F-11 y F-13 refinadas. Nuevas F-14 a F-21 (CU-02 Cobro y Cierre de Caja; CU-04 parcial). BR-06 a BR-08. Hojas nuevas: RNF (ISO 25010), Interfaces y restricciones, Matriz de trazabilidad, Actividades de IR y Resumen. Columnas de trazabilidad a diseño, código y pruebas.</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</si>
</sst>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0"/>
      <color rgb="FFFFFFFF"/>
      <name val="Arial"/>
      <family val="0"/>
      <charset val="1"/>
    </font>
    <font>
      <sz val="9"/>
      <name val="Arial"/>
      <family val="0"/>
      <charset val="1"/>
    </font>
    <font>
      <b val="true"/>
      <sz val="9"/>
      <name val="Arial"/>
      <family val="0"/>
      <charset val="1"/>
    </font>
    <font>
      <b val="true"/>
      <sz val="11"/>
      <color rgb="FF1F4E78"/>
      <name val="Arial"/>
      <family val="0"/>
      <charset val="1"/>
    </font>
    <font>
      <b val="true"/>
      <sz val="9"/>
      <color rgb="FFFFFFFF"/>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375623"/>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375623"/>
          <bgColor rgb="FF000000"/>
        </patternFill>
      </fill>
    </dxf>
    <dxf>
      <fill>
        <patternFill>
          <bgColor rgb="FFE2EFDA"/>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3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32"/>
    <col collapsed="false" customWidth="true" hidden="false" outlineLevel="0" max="5" min="5" style="0" width="36"/>
    <col collapsed="false" customWidth="true" hidden="false" outlineLevel="0" max="6" min="6" style="0" width="55"/>
    <col collapsed="false" customWidth="true" hidden="false" outlineLevel="0" max="7" min="7" style="0" width="40"/>
    <col collapsed="false" customWidth="true" hidden="false" outlineLevel="0" max="8" min="8" style="0" width="34"/>
    <col collapsed="false" customWidth="true" hidden="false" outlineLevel="0" max="9" min="9" style="0" width="36"/>
    <col collapsed="false" customWidth="true" hidden="false" outlineLevel="0" max="18" min="10" style="0" width="12"/>
    <col collapsed="false" customWidth="true" hidden="false" outlineLevel="0" max="19" min="19" style="0" width="36"/>
    <col collapsed="false" customWidth="true" hidden="false" outlineLevel="0" max="25" min="20" style="0" width="12"/>
    <col collapsed="false" customWidth="true" hidden="false" outlineLevel="0" max="26" min="26" style="0" width="30"/>
    <col collapsed="false" customWidth="true" hidden="false" outlineLevel="0" max="27" min="27" style="0" width="34"/>
    <col collapsed="false" customWidth="true" hidden="false" outlineLevel="0" max="28" min="28" style="0" width="26"/>
    <col collapsed="false" customWidth="true" hidden="false" outlineLevel="0" max="29" min="29" style="0" width="12"/>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row>
    <row r="4" customFormat="false" ht="46.2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4" t="s">
        <v>25</v>
      </c>
      <c r="Y4" s="4" t="s">
        <v>26</v>
      </c>
      <c r="Z4" s="4" t="s">
        <v>27</v>
      </c>
      <c r="AA4" s="4" t="s">
        <v>28</v>
      </c>
      <c r="AB4" s="4" t="s">
        <v>29</v>
      </c>
      <c r="AC4" s="4" t="s">
        <v>30</v>
      </c>
    </row>
    <row r="5" customFormat="false" ht="189.75" hidden="false" customHeight="true" outlineLevel="0" collapsed="false">
      <c r="A5" s="5" t="s">
        <v>31</v>
      </c>
      <c r="B5" s="6" t="s">
        <v>32</v>
      </c>
      <c r="C5" s="6" t="s">
        <v>33</v>
      </c>
      <c r="D5" s="6" t="s">
        <v>34</v>
      </c>
      <c r="E5" s="6" t="s">
        <v>35</v>
      </c>
      <c r="F5" s="6" t="s">
        <v>36</v>
      </c>
      <c r="G5" s="6" t="s">
        <v>37</v>
      </c>
      <c r="H5" s="6" t="s">
        <v>38</v>
      </c>
      <c r="I5" s="6" t="s">
        <v>39</v>
      </c>
      <c r="J5" s="5" t="s">
        <v>40</v>
      </c>
      <c r="K5" s="7" t="str">
        <f aca="false">IF(L5="Sí","Must",IF(M5+O5&lt;=4,"Should","Could"))</f>
        <v>Must</v>
      </c>
      <c r="L5" s="5" t="s">
        <v>40</v>
      </c>
      <c r="M5" s="5" t="n">
        <v>2</v>
      </c>
      <c r="N5" s="5" t="s">
        <v>41</v>
      </c>
      <c r="O5" s="5" t="n">
        <v>2</v>
      </c>
      <c r="P5" s="5" t="s">
        <v>41</v>
      </c>
      <c r="Q5" s="5" t="s">
        <v>40</v>
      </c>
      <c r="R5" s="5" t="s">
        <v>40</v>
      </c>
      <c r="S5" s="6" t="s">
        <v>42</v>
      </c>
      <c r="T5" s="5" t="s">
        <v>43</v>
      </c>
      <c r="U5" s="5" t="s">
        <v>44</v>
      </c>
      <c r="V5" s="5" t="s">
        <v>45</v>
      </c>
      <c r="W5" s="5" t="s">
        <v>46</v>
      </c>
      <c r="X5" s="5" t="s">
        <v>47</v>
      </c>
      <c r="Y5" s="5" t="s">
        <v>48</v>
      </c>
      <c r="Z5" s="6" t="s">
        <v>49</v>
      </c>
      <c r="AA5" s="6" t="s">
        <v>50</v>
      </c>
      <c r="AB5" s="6" t="s">
        <v>51</v>
      </c>
      <c r="AC5" s="5" t="s">
        <v>52</v>
      </c>
    </row>
    <row r="6" customFormat="false" ht="189.75" hidden="false" customHeight="true" outlineLevel="0" collapsed="false">
      <c r="A6" s="5" t="s">
        <v>53</v>
      </c>
      <c r="B6" s="6" t="s">
        <v>54</v>
      </c>
      <c r="C6" s="6" t="s">
        <v>55</v>
      </c>
      <c r="D6" s="6" t="s">
        <v>56</v>
      </c>
      <c r="E6" s="6" t="s">
        <v>57</v>
      </c>
      <c r="F6" s="6" t="s">
        <v>58</v>
      </c>
      <c r="G6" s="6" t="s">
        <v>59</v>
      </c>
      <c r="H6" s="6" t="s">
        <v>60</v>
      </c>
      <c r="I6" s="6" t="s">
        <v>61</v>
      </c>
      <c r="J6" s="5" t="s">
        <v>40</v>
      </c>
      <c r="K6" s="7" t="str">
        <f aca="false">IF(L6="Sí","Must",IF(M6+O6&lt;=4,"Should","Could"))</f>
        <v>Must</v>
      </c>
      <c r="L6" s="5" t="s">
        <v>40</v>
      </c>
      <c r="M6" s="5" t="n">
        <v>3</v>
      </c>
      <c r="N6" s="5" t="s">
        <v>41</v>
      </c>
      <c r="O6" s="5" t="n">
        <v>3</v>
      </c>
      <c r="P6" s="5" t="s">
        <v>41</v>
      </c>
      <c r="Q6" s="5" t="s">
        <v>40</v>
      </c>
      <c r="R6" s="5" t="s">
        <v>40</v>
      </c>
      <c r="S6" s="6" t="s">
        <v>62</v>
      </c>
      <c r="T6" s="5" t="s">
        <v>63</v>
      </c>
      <c r="U6" s="5" t="s">
        <v>44</v>
      </c>
      <c r="V6" s="5" t="s">
        <v>45</v>
      </c>
      <c r="W6" s="5" t="s">
        <v>46</v>
      </c>
      <c r="X6" s="5" t="s">
        <v>47</v>
      </c>
      <c r="Y6" s="5" t="s">
        <v>48</v>
      </c>
      <c r="Z6" s="6" t="s">
        <v>64</v>
      </c>
      <c r="AA6" s="6" t="s">
        <v>65</v>
      </c>
      <c r="AB6" s="6" t="s">
        <v>66</v>
      </c>
      <c r="AC6" s="5" t="s">
        <v>52</v>
      </c>
    </row>
    <row r="7" customFormat="false" ht="189.75" hidden="false" customHeight="true" outlineLevel="0" collapsed="false">
      <c r="A7" s="5" t="s">
        <v>67</v>
      </c>
      <c r="B7" s="6" t="s">
        <v>68</v>
      </c>
      <c r="C7" s="6" t="s">
        <v>33</v>
      </c>
      <c r="D7" s="6" t="s">
        <v>69</v>
      </c>
      <c r="E7" s="6" t="s">
        <v>70</v>
      </c>
      <c r="F7" s="6" t="s">
        <v>71</v>
      </c>
      <c r="G7" s="6" t="s">
        <v>72</v>
      </c>
      <c r="H7" s="6" t="s">
        <v>73</v>
      </c>
      <c r="I7" s="6" t="s">
        <v>74</v>
      </c>
      <c r="J7" s="5" t="s">
        <v>40</v>
      </c>
      <c r="K7" s="7" t="str">
        <f aca="false">IF(L7="Sí","Must",IF(M7+O7&lt;=4,"Should","Could"))</f>
        <v>Must</v>
      </c>
      <c r="L7" s="5" t="s">
        <v>40</v>
      </c>
      <c r="M7" s="5" t="n">
        <v>3</v>
      </c>
      <c r="N7" s="5" t="s">
        <v>40</v>
      </c>
      <c r="O7" s="5" t="n">
        <v>3</v>
      </c>
      <c r="P7" s="5" t="s">
        <v>41</v>
      </c>
      <c r="Q7" s="5" t="s">
        <v>40</v>
      </c>
      <c r="R7" s="5" t="s">
        <v>40</v>
      </c>
      <c r="S7" s="6" t="s">
        <v>75</v>
      </c>
      <c r="T7" s="5" t="s">
        <v>76</v>
      </c>
      <c r="U7" s="5" t="s">
        <v>44</v>
      </c>
      <c r="V7" s="5" t="s">
        <v>45</v>
      </c>
      <c r="W7" s="5" t="s">
        <v>46</v>
      </c>
      <c r="X7" s="5" t="s">
        <v>47</v>
      </c>
      <c r="Y7" s="5" t="s">
        <v>48</v>
      </c>
      <c r="Z7" s="6" t="s">
        <v>77</v>
      </c>
      <c r="AA7" s="6" t="s">
        <v>78</v>
      </c>
      <c r="AB7" s="6" t="s">
        <v>79</v>
      </c>
      <c r="AC7" s="5" t="s">
        <v>52</v>
      </c>
    </row>
    <row r="8" customFormat="false" ht="189.75" hidden="false" customHeight="true" outlineLevel="0" collapsed="false">
      <c r="A8" s="5" t="s">
        <v>80</v>
      </c>
      <c r="B8" s="6" t="s">
        <v>81</v>
      </c>
      <c r="C8" s="6" t="s">
        <v>82</v>
      </c>
      <c r="D8" s="6" t="s">
        <v>83</v>
      </c>
      <c r="E8" s="6" t="s">
        <v>84</v>
      </c>
      <c r="F8" s="6" t="s">
        <v>85</v>
      </c>
      <c r="G8" s="6" t="s">
        <v>86</v>
      </c>
      <c r="H8" s="6" t="s">
        <v>87</v>
      </c>
      <c r="I8" s="6" t="s">
        <v>88</v>
      </c>
      <c r="J8" s="5" t="s">
        <v>40</v>
      </c>
      <c r="K8" s="7" t="str">
        <f aca="false">IF(L8="Sí","Must",IF(M8+O8&lt;=4,"Should","Could"))</f>
        <v>Must</v>
      </c>
      <c r="L8" s="5" t="s">
        <v>40</v>
      </c>
      <c r="M8" s="5" t="n">
        <v>2</v>
      </c>
      <c r="N8" s="5" t="s">
        <v>41</v>
      </c>
      <c r="O8" s="5" t="n">
        <v>2</v>
      </c>
      <c r="P8" s="5" t="s">
        <v>41</v>
      </c>
      <c r="Q8" s="5" t="s">
        <v>40</v>
      </c>
      <c r="R8" s="5" t="s">
        <v>41</v>
      </c>
      <c r="S8" s="6" t="s">
        <v>89</v>
      </c>
      <c r="T8" s="5" t="s">
        <v>90</v>
      </c>
      <c r="U8" s="5" t="s">
        <v>44</v>
      </c>
      <c r="V8" s="5" t="s">
        <v>45</v>
      </c>
      <c r="W8" s="5" t="s">
        <v>46</v>
      </c>
      <c r="X8" s="5" t="s">
        <v>47</v>
      </c>
      <c r="Y8" s="5" t="s">
        <v>48</v>
      </c>
      <c r="Z8" s="6" t="s">
        <v>91</v>
      </c>
      <c r="AA8" s="6" t="s">
        <v>92</v>
      </c>
      <c r="AB8" s="6" t="s">
        <v>93</v>
      </c>
      <c r="AC8" s="5" t="s">
        <v>52</v>
      </c>
    </row>
    <row r="9" customFormat="false" ht="189.75" hidden="false" customHeight="true" outlineLevel="0" collapsed="false">
      <c r="A9" s="5" t="s">
        <v>94</v>
      </c>
      <c r="B9" s="6" t="s">
        <v>95</v>
      </c>
      <c r="C9" s="6" t="s">
        <v>96</v>
      </c>
      <c r="D9" s="6" t="s">
        <v>97</v>
      </c>
      <c r="E9" s="6" t="s">
        <v>98</v>
      </c>
      <c r="F9" s="6" t="s">
        <v>99</v>
      </c>
      <c r="G9" s="6" t="s">
        <v>100</v>
      </c>
      <c r="H9" s="6" t="s">
        <v>101</v>
      </c>
      <c r="I9" s="6" t="s">
        <v>102</v>
      </c>
      <c r="J9" s="5" t="s">
        <v>40</v>
      </c>
      <c r="K9" s="7" t="str">
        <f aca="false">IF(L9="Sí","Must",IF(M9+O9&lt;=4,"Should","Could"))</f>
        <v>Must</v>
      </c>
      <c r="L9" s="5" t="s">
        <v>40</v>
      </c>
      <c r="M9" s="5" t="n">
        <v>4</v>
      </c>
      <c r="N9" s="5" t="s">
        <v>40</v>
      </c>
      <c r="O9" s="5" t="n">
        <v>4</v>
      </c>
      <c r="P9" s="5" t="s">
        <v>41</v>
      </c>
      <c r="Q9" s="5" t="s">
        <v>40</v>
      </c>
      <c r="R9" s="5" t="s">
        <v>40</v>
      </c>
      <c r="S9" s="6" t="s">
        <v>103</v>
      </c>
      <c r="T9" s="5" t="s">
        <v>104</v>
      </c>
      <c r="U9" s="5" t="s">
        <v>44</v>
      </c>
      <c r="V9" s="5" t="s">
        <v>45</v>
      </c>
      <c r="W9" s="5" t="s">
        <v>46</v>
      </c>
      <c r="X9" s="5" t="s">
        <v>47</v>
      </c>
      <c r="Y9" s="5" t="s">
        <v>48</v>
      </c>
      <c r="Z9" s="6" t="s">
        <v>105</v>
      </c>
      <c r="AA9" s="6" t="s">
        <v>106</v>
      </c>
      <c r="AB9" s="6" t="s">
        <v>107</v>
      </c>
      <c r="AC9" s="5" t="s">
        <v>52</v>
      </c>
    </row>
    <row r="10" customFormat="false" ht="189.75" hidden="false" customHeight="true" outlineLevel="0" collapsed="false">
      <c r="A10" s="5" t="s">
        <v>108</v>
      </c>
      <c r="B10" s="6" t="s">
        <v>109</v>
      </c>
      <c r="C10" s="6" t="s">
        <v>96</v>
      </c>
      <c r="D10" s="6" t="s">
        <v>110</v>
      </c>
      <c r="E10" s="6" t="s">
        <v>111</v>
      </c>
      <c r="F10" s="6" t="s">
        <v>112</v>
      </c>
      <c r="G10" s="6" t="s">
        <v>113</v>
      </c>
      <c r="H10" s="6" t="s">
        <v>114</v>
      </c>
      <c r="I10" s="6" t="s">
        <v>115</v>
      </c>
      <c r="J10" s="5" t="s">
        <v>40</v>
      </c>
      <c r="K10" s="7" t="str">
        <f aca="false">IF(L10="Sí","Must",IF(M10+O10&lt;=4,"Should","Could"))</f>
        <v>Must</v>
      </c>
      <c r="L10" s="5" t="s">
        <v>40</v>
      </c>
      <c r="M10" s="5" t="n">
        <v>3</v>
      </c>
      <c r="N10" s="5" t="s">
        <v>40</v>
      </c>
      <c r="O10" s="5" t="n">
        <v>3</v>
      </c>
      <c r="P10" s="5" t="s">
        <v>41</v>
      </c>
      <c r="Q10" s="5" t="s">
        <v>40</v>
      </c>
      <c r="R10" s="5" t="s">
        <v>40</v>
      </c>
      <c r="S10" s="6" t="s">
        <v>116</v>
      </c>
      <c r="T10" s="5" t="s">
        <v>117</v>
      </c>
      <c r="U10" s="5" t="s">
        <v>44</v>
      </c>
      <c r="V10" s="5" t="s">
        <v>45</v>
      </c>
      <c r="W10" s="5" t="s">
        <v>46</v>
      </c>
      <c r="X10" s="5" t="s">
        <v>47</v>
      </c>
      <c r="Y10" s="5" t="s">
        <v>48</v>
      </c>
      <c r="Z10" s="6" t="s">
        <v>118</v>
      </c>
      <c r="AA10" s="6" t="s">
        <v>119</v>
      </c>
      <c r="AB10" s="6" t="s">
        <v>120</v>
      </c>
      <c r="AC10" s="5" t="s">
        <v>52</v>
      </c>
    </row>
    <row r="11" customFormat="false" ht="189.75" hidden="false" customHeight="true" outlineLevel="0" collapsed="false">
      <c r="A11" s="5" t="s">
        <v>121</v>
      </c>
      <c r="B11" s="6" t="s">
        <v>122</v>
      </c>
      <c r="C11" s="6" t="s">
        <v>123</v>
      </c>
      <c r="D11" s="6" t="s">
        <v>124</v>
      </c>
      <c r="E11" s="6" t="s">
        <v>125</v>
      </c>
      <c r="F11" s="6" t="s">
        <v>126</v>
      </c>
      <c r="G11" s="6" t="s">
        <v>127</v>
      </c>
      <c r="H11" s="6" t="s">
        <v>128</v>
      </c>
      <c r="I11" s="6" t="s">
        <v>129</v>
      </c>
      <c r="J11" s="5" t="s">
        <v>40</v>
      </c>
      <c r="K11" s="7" t="str">
        <f aca="false">IF(L11="Sí","Must",IF(M11+O11&lt;=4,"Should","Could"))</f>
        <v>Must</v>
      </c>
      <c r="L11" s="5" t="s">
        <v>40</v>
      </c>
      <c r="M11" s="5" t="n">
        <v>4</v>
      </c>
      <c r="N11" s="5" t="s">
        <v>40</v>
      </c>
      <c r="O11" s="5" t="n">
        <v>4</v>
      </c>
      <c r="P11" s="5" t="s">
        <v>41</v>
      </c>
      <c r="Q11" s="5" t="s">
        <v>40</v>
      </c>
      <c r="R11" s="5" t="s">
        <v>40</v>
      </c>
      <c r="S11" s="6" t="s">
        <v>130</v>
      </c>
      <c r="T11" s="5" t="s">
        <v>131</v>
      </c>
      <c r="U11" s="5" t="s">
        <v>44</v>
      </c>
      <c r="V11" s="5" t="s">
        <v>45</v>
      </c>
      <c r="W11" s="5" t="s">
        <v>46</v>
      </c>
      <c r="X11" s="5" t="s">
        <v>47</v>
      </c>
      <c r="Y11" s="5" t="s">
        <v>48</v>
      </c>
      <c r="Z11" s="6" t="s">
        <v>132</v>
      </c>
      <c r="AA11" s="6" t="s">
        <v>133</v>
      </c>
      <c r="AB11" s="6" t="s">
        <v>134</v>
      </c>
      <c r="AC11" s="5" t="s">
        <v>52</v>
      </c>
    </row>
    <row r="12" customFormat="false" ht="189.75" hidden="false" customHeight="true" outlineLevel="0" collapsed="false">
      <c r="A12" s="5" t="s">
        <v>135</v>
      </c>
      <c r="B12" s="6" t="s">
        <v>136</v>
      </c>
      <c r="C12" s="6" t="s">
        <v>137</v>
      </c>
      <c r="D12" s="6" t="s">
        <v>138</v>
      </c>
      <c r="E12" s="6" t="s">
        <v>139</v>
      </c>
      <c r="F12" s="6" t="s">
        <v>140</v>
      </c>
      <c r="G12" s="6" t="s">
        <v>141</v>
      </c>
      <c r="H12" s="6" t="s">
        <v>142</v>
      </c>
      <c r="I12" s="6" t="s">
        <v>143</v>
      </c>
      <c r="J12" s="5" t="s">
        <v>40</v>
      </c>
      <c r="K12" s="7" t="str">
        <f aca="false">IF(L12="Sí","Must",IF(M12+O12&lt;=4,"Should","Could"))</f>
        <v>Must</v>
      </c>
      <c r="L12" s="5" t="s">
        <v>40</v>
      </c>
      <c r="M12" s="5" t="n">
        <v>5</v>
      </c>
      <c r="N12" s="5" t="s">
        <v>40</v>
      </c>
      <c r="O12" s="5" t="n">
        <v>5</v>
      </c>
      <c r="P12" s="5" t="s">
        <v>41</v>
      </c>
      <c r="Q12" s="5" t="s">
        <v>40</v>
      </c>
      <c r="R12" s="5" t="s">
        <v>40</v>
      </c>
      <c r="S12" s="6" t="s">
        <v>144</v>
      </c>
      <c r="T12" s="5" t="s">
        <v>145</v>
      </c>
      <c r="U12" s="5" t="s">
        <v>44</v>
      </c>
      <c r="V12" s="5" t="s">
        <v>146</v>
      </c>
      <c r="W12" s="5" t="s">
        <v>147</v>
      </c>
      <c r="X12" s="5" t="s">
        <v>148</v>
      </c>
      <c r="Y12" s="5" t="s">
        <v>48</v>
      </c>
      <c r="Z12" s="6" t="s">
        <v>149</v>
      </c>
      <c r="AA12" s="6" t="s">
        <v>150</v>
      </c>
      <c r="AB12" s="6" t="s">
        <v>151</v>
      </c>
      <c r="AC12" s="5" t="s">
        <v>52</v>
      </c>
    </row>
    <row r="13" customFormat="false" ht="189.75" hidden="false" customHeight="true" outlineLevel="0" collapsed="false">
      <c r="A13" s="5" t="s">
        <v>152</v>
      </c>
      <c r="B13" s="6" t="s">
        <v>153</v>
      </c>
      <c r="C13" s="6" t="s">
        <v>123</v>
      </c>
      <c r="D13" s="6" t="s">
        <v>154</v>
      </c>
      <c r="E13" s="6" t="s">
        <v>155</v>
      </c>
      <c r="F13" s="6" t="s">
        <v>156</v>
      </c>
      <c r="G13" s="6" t="s">
        <v>157</v>
      </c>
      <c r="H13" s="6" t="s">
        <v>158</v>
      </c>
      <c r="I13" s="6" t="s">
        <v>159</v>
      </c>
      <c r="J13" s="5" t="s">
        <v>40</v>
      </c>
      <c r="K13" s="7" t="str">
        <f aca="false">IF(L13="Sí","Must",IF(M13+O13&lt;=4,"Should","Could"))</f>
        <v>Must</v>
      </c>
      <c r="L13" s="5" t="s">
        <v>40</v>
      </c>
      <c r="M13" s="5" t="n">
        <v>3</v>
      </c>
      <c r="N13" s="5" t="s">
        <v>41</v>
      </c>
      <c r="O13" s="5" t="n">
        <v>2</v>
      </c>
      <c r="P13" s="5" t="s">
        <v>41</v>
      </c>
      <c r="Q13" s="5" t="s">
        <v>40</v>
      </c>
      <c r="R13" s="5" t="s">
        <v>40</v>
      </c>
      <c r="S13" s="6" t="s">
        <v>160</v>
      </c>
      <c r="T13" s="5" t="s">
        <v>161</v>
      </c>
      <c r="U13" s="5" t="s">
        <v>44</v>
      </c>
      <c r="V13" s="5" t="s">
        <v>45</v>
      </c>
      <c r="W13" s="5" t="s">
        <v>46</v>
      </c>
      <c r="X13" s="5" t="s">
        <v>47</v>
      </c>
      <c r="Y13" s="5" t="s">
        <v>48</v>
      </c>
      <c r="Z13" s="6" t="s">
        <v>162</v>
      </c>
      <c r="AA13" s="6" t="s">
        <v>163</v>
      </c>
      <c r="AB13" s="6" t="s">
        <v>93</v>
      </c>
      <c r="AC13" s="5" t="s">
        <v>52</v>
      </c>
    </row>
    <row r="14" customFormat="false" ht="189.75" hidden="false" customHeight="true" outlineLevel="0" collapsed="false">
      <c r="A14" s="5" t="s">
        <v>164</v>
      </c>
      <c r="B14" s="6" t="s">
        <v>165</v>
      </c>
      <c r="C14" s="6" t="s">
        <v>123</v>
      </c>
      <c r="D14" s="6" t="s">
        <v>166</v>
      </c>
      <c r="E14" s="6" t="s">
        <v>167</v>
      </c>
      <c r="F14" s="6" t="s">
        <v>168</v>
      </c>
      <c r="G14" s="6" t="s">
        <v>169</v>
      </c>
      <c r="H14" s="6" t="s">
        <v>170</v>
      </c>
      <c r="I14" s="6" t="s">
        <v>171</v>
      </c>
      <c r="J14" s="5" t="s">
        <v>40</v>
      </c>
      <c r="K14" s="7" t="str">
        <f aca="false">IF(L14="Sí","Must",IF(M14+O14&lt;=4,"Should","Could"))</f>
        <v>Must</v>
      </c>
      <c r="L14" s="5" t="s">
        <v>40</v>
      </c>
      <c r="M14" s="5" t="n">
        <v>3</v>
      </c>
      <c r="N14" s="5" t="s">
        <v>41</v>
      </c>
      <c r="O14" s="5" t="n">
        <v>3</v>
      </c>
      <c r="P14" s="5" t="s">
        <v>41</v>
      </c>
      <c r="Q14" s="5" t="s">
        <v>40</v>
      </c>
      <c r="R14" s="5" t="s">
        <v>40</v>
      </c>
      <c r="S14" s="6" t="s">
        <v>172</v>
      </c>
      <c r="T14" s="5" t="s">
        <v>173</v>
      </c>
      <c r="U14" s="5" t="s">
        <v>44</v>
      </c>
      <c r="V14" s="5" t="s">
        <v>146</v>
      </c>
      <c r="W14" s="5" t="s">
        <v>147</v>
      </c>
      <c r="X14" s="5" t="s">
        <v>47</v>
      </c>
      <c r="Y14" s="5" t="s">
        <v>48</v>
      </c>
      <c r="Z14" s="6" t="s">
        <v>174</v>
      </c>
      <c r="AA14" s="6" t="s">
        <v>175</v>
      </c>
      <c r="AB14" s="6" t="s">
        <v>176</v>
      </c>
      <c r="AC14" s="5" t="s">
        <v>52</v>
      </c>
    </row>
    <row r="15" customFormat="false" ht="189.75" hidden="false" customHeight="true" outlineLevel="0" collapsed="false">
      <c r="A15" s="5" t="s">
        <v>177</v>
      </c>
      <c r="B15" s="6" t="s">
        <v>178</v>
      </c>
      <c r="C15" s="6" t="s">
        <v>179</v>
      </c>
      <c r="D15" s="6" t="s">
        <v>180</v>
      </c>
      <c r="E15" s="6" t="s">
        <v>181</v>
      </c>
      <c r="F15" s="6" t="s">
        <v>182</v>
      </c>
      <c r="G15" s="6" t="s">
        <v>183</v>
      </c>
      <c r="H15" s="6" t="s">
        <v>184</v>
      </c>
      <c r="I15" s="6" t="s">
        <v>185</v>
      </c>
      <c r="J15" s="5" t="s">
        <v>40</v>
      </c>
      <c r="K15" s="7" t="str">
        <f aca="false">IF(L15="Sí","Must",IF(M15+O15&lt;=4,"Should","Could"))</f>
        <v>Must</v>
      </c>
      <c r="L15" s="5" t="s">
        <v>40</v>
      </c>
      <c r="M15" s="5" t="n">
        <v>3</v>
      </c>
      <c r="N15" s="5" t="s">
        <v>40</v>
      </c>
      <c r="O15" s="5" t="n">
        <v>3</v>
      </c>
      <c r="P15" s="5" t="s">
        <v>41</v>
      </c>
      <c r="Q15" s="5" t="s">
        <v>40</v>
      </c>
      <c r="R15" s="5" t="s">
        <v>40</v>
      </c>
      <c r="S15" s="6" t="s">
        <v>186</v>
      </c>
      <c r="T15" s="5" t="s">
        <v>187</v>
      </c>
      <c r="U15" s="5" t="s">
        <v>44</v>
      </c>
      <c r="V15" s="5" t="s">
        <v>146</v>
      </c>
      <c r="W15" s="5" t="s">
        <v>147</v>
      </c>
      <c r="X15" s="5" t="s">
        <v>47</v>
      </c>
      <c r="Y15" s="5" t="s">
        <v>48</v>
      </c>
      <c r="Z15" s="6" t="s">
        <v>188</v>
      </c>
      <c r="AA15" s="6" t="s">
        <v>189</v>
      </c>
      <c r="AB15" s="6" t="s">
        <v>190</v>
      </c>
      <c r="AC15" s="5" t="s">
        <v>52</v>
      </c>
    </row>
    <row r="16" customFormat="false" ht="189.75" hidden="false" customHeight="true" outlineLevel="0" collapsed="false">
      <c r="A16" s="5" t="s">
        <v>191</v>
      </c>
      <c r="B16" s="6" t="s">
        <v>192</v>
      </c>
      <c r="C16" s="6" t="s">
        <v>193</v>
      </c>
      <c r="D16" s="6" t="s">
        <v>194</v>
      </c>
      <c r="E16" s="6" t="s">
        <v>195</v>
      </c>
      <c r="F16" s="6" t="s">
        <v>196</v>
      </c>
      <c r="G16" s="6" t="s">
        <v>197</v>
      </c>
      <c r="H16" s="6" t="s">
        <v>198</v>
      </c>
      <c r="I16" s="6" t="s">
        <v>199</v>
      </c>
      <c r="J16" s="5" t="s">
        <v>40</v>
      </c>
      <c r="K16" s="7" t="str">
        <f aca="false">IF(L16="Sí","Must",IF(M16+O16&lt;=4,"Should","Could"))</f>
        <v>Must</v>
      </c>
      <c r="L16" s="5" t="s">
        <v>40</v>
      </c>
      <c r="M16" s="5" t="n">
        <v>2</v>
      </c>
      <c r="N16" s="5" t="s">
        <v>41</v>
      </c>
      <c r="O16" s="5" t="n">
        <v>2</v>
      </c>
      <c r="P16" s="5" t="s">
        <v>41</v>
      </c>
      <c r="Q16" s="5" t="s">
        <v>40</v>
      </c>
      <c r="R16" s="5" t="s">
        <v>40</v>
      </c>
      <c r="S16" s="6" t="s">
        <v>200</v>
      </c>
      <c r="T16" s="5" t="s">
        <v>201</v>
      </c>
      <c r="U16" s="5" t="s">
        <v>44</v>
      </c>
      <c r="V16" s="5" t="s">
        <v>45</v>
      </c>
      <c r="W16" s="5" t="s">
        <v>46</v>
      </c>
      <c r="X16" s="5" t="s">
        <v>47</v>
      </c>
      <c r="Y16" s="5" t="s">
        <v>48</v>
      </c>
      <c r="Z16" s="6" t="s">
        <v>202</v>
      </c>
      <c r="AA16" s="6" t="s">
        <v>203</v>
      </c>
      <c r="AB16" s="6" t="s">
        <v>204</v>
      </c>
      <c r="AC16" s="5" t="s">
        <v>52</v>
      </c>
    </row>
    <row r="17" customFormat="false" ht="189.75" hidden="false" customHeight="true" outlineLevel="0" collapsed="false">
      <c r="A17" s="5" t="s">
        <v>205</v>
      </c>
      <c r="B17" s="6" t="s">
        <v>206</v>
      </c>
      <c r="C17" s="6" t="s">
        <v>55</v>
      </c>
      <c r="D17" s="6" t="s">
        <v>207</v>
      </c>
      <c r="E17" s="6" t="s">
        <v>208</v>
      </c>
      <c r="F17" s="6" t="s">
        <v>209</v>
      </c>
      <c r="G17" s="6" t="s">
        <v>210</v>
      </c>
      <c r="H17" s="6" t="s">
        <v>211</v>
      </c>
      <c r="I17" s="6" t="s">
        <v>212</v>
      </c>
      <c r="J17" s="5" t="s">
        <v>40</v>
      </c>
      <c r="K17" s="7" t="str">
        <f aca="false">IF(L17="Sí","Must",IF(M17+O17&lt;=4,"Should","Could"))</f>
        <v>Must</v>
      </c>
      <c r="L17" s="5" t="s">
        <v>40</v>
      </c>
      <c r="M17" s="5" t="n">
        <v>3</v>
      </c>
      <c r="N17" s="5" t="s">
        <v>41</v>
      </c>
      <c r="O17" s="5" t="n">
        <v>3</v>
      </c>
      <c r="P17" s="5" t="s">
        <v>41</v>
      </c>
      <c r="Q17" s="5" t="s">
        <v>40</v>
      </c>
      <c r="R17" s="5" t="s">
        <v>40</v>
      </c>
      <c r="S17" s="6" t="s">
        <v>213</v>
      </c>
      <c r="T17" s="5" t="s">
        <v>214</v>
      </c>
      <c r="U17" s="5" t="s">
        <v>44</v>
      </c>
      <c r="V17" s="5" t="s">
        <v>146</v>
      </c>
      <c r="W17" s="5" t="s">
        <v>147</v>
      </c>
      <c r="X17" s="5" t="s">
        <v>47</v>
      </c>
      <c r="Y17" s="5" t="s">
        <v>48</v>
      </c>
      <c r="Z17" s="6" t="s">
        <v>215</v>
      </c>
      <c r="AA17" s="6" t="s">
        <v>216</v>
      </c>
      <c r="AB17" s="6" t="s">
        <v>217</v>
      </c>
      <c r="AC17" s="5" t="s">
        <v>52</v>
      </c>
    </row>
    <row r="18" customFormat="false" ht="189.75" hidden="false" customHeight="true" outlineLevel="0" collapsed="false">
      <c r="A18" s="5" t="s">
        <v>218</v>
      </c>
      <c r="B18" s="6" t="s">
        <v>219</v>
      </c>
      <c r="C18" s="6" t="s">
        <v>220</v>
      </c>
      <c r="D18" s="6" t="s">
        <v>221</v>
      </c>
      <c r="E18" s="6" t="s">
        <v>222</v>
      </c>
      <c r="F18" s="6" t="s">
        <v>223</v>
      </c>
      <c r="G18" s="6" t="s">
        <v>224</v>
      </c>
      <c r="H18" s="6" t="s">
        <v>225</v>
      </c>
      <c r="I18" s="6" t="s">
        <v>226</v>
      </c>
      <c r="J18" s="5" t="s">
        <v>40</v>
      </c>
      <c r="K18" s="7" t="str">
        <f aca="false">IF(L18="Sí","Must",IF(M18+O18&lt;=4,"Should","Could"))</f>
        <v>Should</v>
      </c>
      <c r="L18" s="5" t="s">
        <v>41</v>
      </c>
      <c r="M18" s="5" t="n">
        <v>1</v>
      </c>
      <c r="N18" s="5" t="s">
        <v>41</v>
      </c>
      <c r="O18" s="5" t="n">
        <v>1</v>
      </c>
      <c r="P18" s="5" t="s">
        <v>41</v>
      </c>
      <c r="Q18" s="5" t="s">
        <v>40</v>
      </c>
      <c r="R18" s="5" t="s">
        <v>40</v>
      </c>
      <c r="S18" s="6" t="s">
        <v>227</v>
      </c>
      <c r="T18" s="5" t="s">
        <v>228</v>
      </c>
      <c r="U18" s="5" t="s">
        <v>44</v>
      </c>
      <c r="V18" s="5" t="s">
        <v>146</v>
      </c>
      <c r="W18" s="5" t="s">
        <v>147</v>
      </c>
      <c r="X18" s="5" t="s">
        <v>47</v>
      </c>
      <c r="Y18" s="5" t="s">
        <v>229</v>
      </c>
      <c r="Z18" s="6" t="s">
        <v>230</v>
      </c>
      <c r="AA18" s="6" t="s">
        <v>231</v>
      </c>
      <c r="AB18" s="6" t="s">
        <v>232</v>
      </c>
      <c r="AC18" s="5" t="s">
        <v>52</v>
      </c>
    </row>
    <row r="19" customFormat="false" ht="189.75" hidden="false" customHeight="true" outlineLevel="0" collapsed="false">
      <c r="A19" s="5" t="s">
        <v>233</v>
      </c>
      <c r="B19" s="6" t="s">
        <v>234</v>
      </c>
      <c r="C19" s="6" t="s">
        <v>235</v>
      </c>
      <c r="D19" s="6" t="s">
        <v>236</v>
      </c>
      <c r="E19" s="6" t="s">
        <v>237</v>
      </c>
      <c r="F19" s="6" t="s">
        <v>238</v>
      </c>
      <c r="G19" s="6" t="s">
        <v>239</v>
      </c>
      <c r="H19" s="6" t="s">
        <v>240</v>
      </c>
      <c r="I19" s="6" t="s">
        <v>241</v>
      </c>
      <c r="J19" s="5" t="s">
        <v>40</v>
      </c>
      <c r="K19" s="7" t="str">
        <f aca="false">IF(L19="Sí","Must",IF(M19+O19&lt;=4,"Should","Could"))</f>
        <v>Must</v>
      </c>
      <c r="L19" s="5" t="s">
        <v>40</v>
      </c>
      <c r="M19" s="5" t="n">
        <v>2</v>
      </c>
      <c r="N19" s="5" t="s">
        <v>41</v>
      </c>
      <c r="O19" s="5" t="n">
        <v>2</v>
      </c>
      <c r="P19" s="5" t="s">
        <v>41</v>
      </c>
      <c r="Q19" s="5" t="s">
        <v>40</v>
      </c>
      <c r="R19" s="5" t="s">
        <v>40</v>
      </c>
      <c r="S19" s="6" t="s">
        <v>242</v>
      </c>
      <c r="T19" s="5" t="s">
        <v>243</v>
      </c>
      <c r="U19" s="5" t="s">
        <v>44</v>
      </c>
      <c r="V19" s="5" t="s">
        <v>146</v>
      </c>
      <c r="W19" s="5" t="s">
        <v>147</v>
      </c>
      <c r="X19" s="5" t="s">
        <v>47</v>
      </c>
      <c r="Y19" s="5" t="s">
        <v>229</v>
      </c>
      <c r="Z19" s="6" t="s">
        <v>244</v>
      </c>
      <c r="AA19" s="6" t="s">
        <v>245</v>
      </c>
      <c r="AB19" s="6" t="s">
        <v>246</v>
      </c>
      <c r="AC19" s="5" t="s">
        <v>52</v>
      </c>
    </row>
    <row r="20" customFormat="false" ht="189.75" hidden="false" customHeight="true" outlineLevel="0" collapsed="false">
      <c r="A20" s="5" t="s">
        <v>247</v>
      </c>
      <c r="B20" s="6" t="s">
        <v>248</v>
      </c>
      <c r="C20" s="6" t="s">
        <v>235</v>
      </c>
      <c r="D20" s="6" t="s">
        <v>249</v>
      </c>
      <c r="E20" s="6" t="s">
        <v>250</v>
      </c>
      <c r="F20" s="6" t="s">
        <v>251</v>
      </c>
      <c r="G20" s="6" t="s">
        <v>252</v>
      </c>
      <c r="H20" s="6" t="s">
        <v>253</v>
      </c>
      <c r="I20" s="6" t="s">
        <v>254</v>
      </c>
      <c r="J20" s="5" t="s">
        <v>40</v>
      </c>
      <c r="K20" s="7" t="str">
        <f aca="false">IF(L20="Sí","Must",IF(M20+O20&lt;=4,"Should","Could"))</f>
        <v>Must</v>
      </c>
      <c r="L20" s="5" t="s">
        <v>40</v>
      </c>
      <c r="M20" s="5" t="n">
        <v>2</v>
      </c>
      <c r="N20" s="5" t="s">
        <v>41</v>
      </c>
      <c r="O20" s="5" t="n">
        <v>2</v>
      </c>
      <c r="P20" s="5" t="s">
        <v>41</v>
      </c>
      <c r="Q20" s="5" t="s">
        <v>40</v>
      </c>
      <c r="R20" s="5" t="s">
        <v>40</v>
      </c>
      <c r="S20" s="6" t="s">
        <v>255</v>
      </c>
      <c r="T20" s="5" t="s">
        <v>256</v>
      </c>
      <c r="U20" s="5" t="s">
        <v>44</v>
      </c>
      <c r="V20" s="5" t="s">
        <v>146</v>
      </c>
      <c r="W20" s="5" t="s">
        <v>147</v>
      </c>
      <c r="X20" s="5" t="s">
        <v>47</v>
      </c>
      <c r="Y20" s="5" t="s">
        <v>229</v>
      </c>
      <c r="Z20" s="6" t="s">
        <v>257</v>
      </c>
      <c r="AA20" s="6" t="s">
        <v>258</v>
      </c>
      <c r="AB20" s="6" t="s">
        <v>259</v>
      </c>
      <c r="AC20" s="5" t="s">
        <v>52</v>
      </c>
    </row>
    <row r="21" customFormat="false" ht="189.75" hidden="false" customHeight="true" outlineLevel="0" collapsed="false">
      <c r="A21" s="5" t="s">
        <v>260</v>
      </c>
      <c r="B21" s="6" t="s">
        <v>261</v>
      </c>
      <c r="C21" s="6" t="s">
        <v>235</v>
      </c>
      <c r="D21" s="6" t="s">
        <v>262</v>
      </c>
      <c r="E21" s="6" t="s">
        <v>263</v>
      </c>
      <c r="F21" s="6" t="s">
        <v>264</v>
      </c>
      <c r="G21" s="6" t="s">
        <v>265</v>
      </c>
      <c r="H21" s="6" t="s">
        <v>266</v>
      </c>
      <c r="I21" s="6" t="s">
        <v>267</v>
      </c>
      <c r="J21" s="5" t="s">
        <v>40</v>
      </c>
      <c r="K21" s="7" t="str">
        <f aca="false">IF(L21="Sí","Must",IF(M21+O21&lt;=4,"Should","Could"))</f>
        <v>Must</v>
      </c>
      <c r="L21" s="5" t="s">
        <v>40</v>
      </c>
      <c r="M21" s="5" t="n">
        <v>3</v>
      </c>
      <c r="N21" s="5" t="s">
        <v>40</v>
      </c>
      <c r="O21" s="5" t="n">
        <v>4</v>
      </c>
      <c r="P21" s="5" t="s">
        <v>41</v>
      </c>
      <c r="Q21" s="5" t="s">
        <v>40</v>
      </c>
      <c r="R21" s="5" t="s">
        <v>41</v>
      </c>
      <c r="S21" s="6" t="s">
        <v>268</v>
      </c>
      <c r="T21" s="5" t="s">
        <v>269</v>
      </c>
      <c r="U21" s="5" t="s">
        <v>44</v>
      </c>
      <c r="V21" s="5" t="s">
        <v>146</v>
      </c>
      <c r="W21" s="5" t="s">
        <v>147</v>
      </c>
      <c r="X21" s="5" t="s">
        <v>270</v>
      </c>
      <c r="Y21" s="5" t="s">
        <v>229</v>
      </c>
      <c r="Z21" s="6" t="s">
        <v>271</v>
      </c>
      <c r="AA21" s="6" t="s">
        <v>272</v>
      </c>
      <c r="AB21" s="6" t="s">
        <v>273</v>
      </c>
      <c r="AC21" s="5" t="s">
        <v>274</v>
      </c>
    </row>
    <row r="22" customFormat="false" ht="189.75" hidden="false" customHeight="true" outlineLevel="0" collapsed="false">
      <c r="A22" s="5" t="s">
        <v>275</v>
      </c>
      <c r="B22" s="6" t="s">
        <v>276</v>
      </c>
      <c r="C22" s="6" t="s">
        <v>220</v>
      </c>
      <c r="D22" s="6" t="s">
        <v>277</v>
      </c>
      <c r="E22" s="6" t="s">
        <v>278</v>
      </c>
      <c r="F22" s="6" t="s">
        <v>279</v>
      </c>
      <c r="G22" s="6" t="s">
        <v>280</v>
      </c>
      <c r="H22" s="6" t="s">
        <v>281</v>
      </c>
      <c r="I22" s="6" t="s">
        <v>282</v>
      </c>
      <c r="J22" s="5" t="s">
        <v>40</v>
      </c>
      <c r="K22" s="7" t="str">
        <f aca="false">IF(L22="Sí","Must",IF(M22+O22&lt;=4,"Should","Could"))</f>
        <v>Could</v>
      </c>
      <c r="L22" s="5" t="s">
        <v>41</v>
      </c>
      <c r="M22" s="5" t="n">
        <v>2</v>
      </c>
      <c r="N22" s="5" t="s">
        <v>41</v>
      </c>
      <c r="O22" s="5" t="n">
        <v>3</v>
      </c>
      <c r="P22" s="5" t="s">
        <v>41</v>
      </c>
      <c r="Q22" s="5" t="s">
        <v>40</v>
      </c>
      <c r="R22" s="5" t="s">
        <v>40</v>
      </c>
      <c r="S22" s="6" t="s">
        <v>283</v>
      </c>
      <c r="T22" s="5" t="s">
        <v>284</v>
      </c>
      <c r="U22" s="5" t="s">
        <v>44</v>
      </c>
      <c r="V22" s="5" t="s">
        <v>146</v>
      </c>
      <c r="W22" s="5" t="s">
        <v>147</v>
      </c>
      <c r="X22" s="5" t="s">
        <v>47</v>
      </c>
      <c r="Y22" s="5" t="s">
        <v>229</v>
      </c>
      <c r="Z22" s="6" t="s">
        <v>285</v>
      </c>
      <c r="AA22" s="6" t="s">
        <v>286</v>
      </c>
      <c r="AB22" s="6" t="s">
        <v>287</v>
      </c>
      <c r="AC22" s="5" t="s">
        <v>52</v>
      </c>
    </row>
    <row r="23" customFormat="false" ht="189.75" hidden="false" customHeight="true" outlineLevel="0" collapsed="false">
      <c r="A23" s="5" t="s">
        <v>288</v>
      </c>
      <c r="B23" s="6" t="s">
        <v>289</v>
      </c>
      <c r="C23" s="6" t="s">
        <v>290</v>
      </c>
      <c r="D23" s="6" t="s">
        <v>291</v>
      </c>
      <c r="E23" s="6" t="s">
        <v>292</v>
      </c>
      <c r="F23" s="6" t="s">
        <v>293</v>
      </c>
      <c r="G23" s="6" t="s">
        <v>294</v>
      </c>
      <c r="H23" s="6" t="s">
        <v>295</v>
      </c>
      <c r="I23" s="6" t="s">
        <v>296</v>
      </c>
      <c r="J23" s="5" t="s">
        <v>40</v>
      </c>
      <c r="K23" s="7" t="str">
        <f aca="false">IF(L23="Sí","Must",IF(M23+O23&lt;=4,"Should","Could"))</f>
        <v>Must</v>
      </c>
      <c r="L23" s="5" t="s">
        <v>40</v>
      </c>
      <c r="M23" s="5" t="n">
        <v>5</v>
      </c>
      <c r="N23" s="5" t="s">
        <v>40</v>
      </c>
      <c r="O23" s="5" t="n">
        <v>5</v>
      </c>
      <c r="P23" s="5" t="s">
        <v>41</v>
      </c>
      <c r="Q23" s="5" t="s">
        <v>40</v>
      </c>
      <c r="R23" s="5" t="s">
        <v>41</v>
      </c>
      <c r="S23" s="6" t="s">
        <v>297</v>
      </c>
      <c r="T23" s="5" t="s">
        <v>298</v>
      </c>
      <c r="U23" s="5" t="s">
        <v>44</v>
      </c>
      <c r="V23" s="5" t="s">
        <v>146</v>
      </c>
      <c r="W23" s="5" t="s">
        <v>147</v>
      </c>
      <c r="X23" s="5" t="s">
        <v>299</v>
      </c>
      <c r="Y23" s="5" t="s">
        <v>229</v>
      </c>
      <c r="Z23" s="6" t="s">
        <v>300</v>
      </c>
      <c r="AA23" s="6" t="s">
        <v>301</v>
      </c>
      <c r="AB23" s="6" t="s">
        <v>302</v>
      </c>
      <c r="AC23" s="5" t="s">
        <v>303</v>
      </c>
    </row>
    <row r="24" customFormat="false" ht="189.75" hidden="false" customHeight="true" outlineLevel="0" collapsed="false">
      <c r="A24" s="5" t="s">
        <v>304</v>
      </c>
      <c r="B24" s="6" t="s">
        <v>305</v>
      </c>
      <c r="C24" s="6" t="s">
        <v>306</v>
      </c>
      <c r="D24" s="6" t="s">
        <v>307</v>
      </c>
      <c r="E24" s="6" t="s">
        <v>308</v>
      </c>
      <c r="F24" s="6" t="s">
        <v>309</v>
      </c>
      <c r="G24" s="6" t="s">
        <v>310</v>
      </c>
      <c r="H24" s="6" t="s">
        <v>311</v>
      </c>
      <c r="I24" s="6" t="s">
        <v>312</v>
      </c>
      <c r="J24" s="5" t="s">
        <v>40</v>
      </c>
      <c r="K24" s="7" t="str">
        <f aca="false">IF(L24="Sí","Must",IF(M24+O24&lt;=4,"Should","Could"))</f>
        <v>Must</v>
      </c>
      <c r="L24" s="5" t="s">
        <v>40</v>
      </c>
      <c r="M24" s="5" t="n">
        <v>4</v>
      </c>
      <c r="N24" s="5" t="s">
        <v>40</v>
      </c>
      <c r="O24" s="5" t="n">
        <v>4</v>
      </c>
      <c r="P24" s="5" t="s">
        <v>41</v>
      </c>
      <c r="Q24" s="5" t="s">
        <v>40</v>
      </c>
      <c r="R24" s="5" t="s">
        <v>40</v>
      </c>
      <c r="S24" s="6" t="s">
        <v>313</v>
      </c>
      <c r="T24" s="5" t="s">
        <v>314</v>
      </c>
      <c r="U24" s="5" t="s">
        <v>44</v>
      </c>
      <c r="V24" s="5" t="s">
        <v>146</v>
      </c>
      <c r="W24" s="5" t="s">
        <v>147</v>
      </c>
      <c r="X24" s="5" t="s">
        <v>47</v>
      </c>
      <c r="Y24" s="5" t="s">
        <v>315</v>
      </c>
      <c r="Z24" s="6" t="s">
        <v>316</v>
      </c>
      <c r="AA24" s="6" t="s">
        <v>317</v>
      </c>
      <c r="AB24" s="6" t="s">
        <v>318</v>
      </c>
      <c r="AC24" s="5" t="s">
        <v>52</v>
      </c>
    </row>
    <row r="25" customFormat="false" ht="189.75" hidden="false" customHeight="true" outlineLevel="0" collapsed="false">
      <c r="A25" s="5" t="s">
        <v>319</v>
      </c>
      <c r="B25" s="6" t="s">
        <v>320</v>
      </c>
      <c r="C25" s="6" t="s">
        <v>96</v>
      </c>
      <c r="D25" s="6" t="s">
        <v>321</v>
      </c>
      <c r="E25" s="6" t="s">
        <v>322</v>
      </c>
      <c r="F25" s="6" t="s">
        <v>323</v>
      </c>
      <c r="G25" s="6" t="s">
        <v>324</v>
      </c>
      <c r="H25" s="6" t="s">
        <v>325</v>
      </c>
      <c r="I25" s="6" t="s">
        <v>326</v>
      </c>
      <c r="J25" s="5" t="s">
        <v>40</v>
      </c>
      <c r="K25" s="7" t="str">
        <f aca="false">IF(L25="Sí","Must",IF(M25+O25&lt;=4,"Should","Could"))</f>
        <v>Should</v>
      </c>
      <c r="L25" s="5" t="s">
        <v>41</v>
      </c>
      <c r="M25" s="5" t="n">
        <v>2</v>
      </c>
      <c r="N25" s="5" t="s">
        <v>41</v>
      </c>
      <c r="O25" s="5" t="n">
        <v>2</v>
      </c>
      <c r="P25" s="5" t="s">
        <v>41</v>
      </c>
      <c r="Q25" s="5" t="s">
        <v>41</v>
      </c>
      <c r="R25" s="5" t="s">
        <v>40</v>
      </c>
      <c r="S25" s="6" t="s">
        <v>327</v>
      </c>
      <c r="T25" s="5" t="s">
        <v>328</v>
      </c>
      <c r="U25" s="5" t="s">
        <v>44</v>
      </c>
      <c r="V25" s="5" t="s">
        <v>146</v>
      </c>
      <c r="W25" s="5" t="s">
        <v>147</v>
      </c>
      <c r="X25" s="5" t="s">
        <v>47</v>
      </c>
      <c r="Y25" s="5" t="s">
        <v>329</v>
      </c>
      <c r="Z25" s="6" t="s">
        <v>330</v>
      </c>
      <c r="AA25" s="6" t="s">
        <v>331</v>
      </c>
      <c r="AB25" s="6" t="s">
        <v>93</v>
      </c>
      <c r="AC25" s="5" t="s">
        <v>332</v>
      </c>
    </row>
    <row r="27" customFormat="false" ht="15" hidden="false" customHeight="false" outlineLevel="0" collapsed="false">
      <c r="A27" s="8" t="s">
        <v>333</v>
      </c>
    </row>
    <row r="28" customFormat="false" ht="15" hidden="false" customHeight="false" outlineLevel="0" collapsed="false">
      <c r="A28" s="9" t="s">
        <v>334</v>
      </c>
    </row>
    <row r="29" customFormat="false" ht="15" hidden="false" customHeight="false" outlineLevel="0" collapsed="false">
      <c r="A29" s="9" t="s">
        <v>335</v>
      </c>
    </row>
    <row r="30" customFormat="false" ht="15" hidden="false" customHeight="false" outlineLevel="0" collapsed="false">
      <c r="A30" s="9" t="s">
        <v>336</v>
      </c>
    </row>
    <row r="31" customFormat="false" ht="15" hidden="false" customHeight="false" outlineLevel="0" collapsed="false">
      <c r="A31" s="9" t="s">
        <v>337</v>
      </c>
    </row>
  </sheetData>
  <autoFilter ref="A4:AC25"/>
  <mergeCells count="2">
    <mergeCell ref="A1:AC1"/>
    <mergeCell ref="A2:AC2"/>
  </mergeCells>
  <conditionalFormatting sqref="U5:U25">
    <cfRule type="cellIs" priority="2" operator="equal" aboveAverage="0" equalAverage="0" bottom="0" percent="0" rank="0" text="" dxfId="5">
      <formula>"Refinado"</formula>
    </cfRule>
    <cfRule type="cellIs" priority="3" operator="equal" aboveAverage="0" equalAverage="0" bottom="0" percent="0" rank="0" text="" dxfId="6">
      <formula>"En refinamiento"</formula>
    </cfRule>
    <cfRule type="cellIs" priority="4" operator="equal" aboveAverage="0" equalAverage="0" bottom="0" percent="0" rank="0" text="" dxfId="7">
      <formula>"Por refinar"</formula>
    </cfRule>
    <cfRule type="cellIs" priority="5" operator="equal" aboveAverage="0" equalAverage="0" bottom="0" percent="0" rank="0" text="" dxfId="7">
      <formula>"Cambio solicitado"</formula>
    </cfRule>
  </conditionalFormatting>
  <dataValidations count="2">
    <dataValidation allowBlank="true" errorStyle="stop" operator="between" showDropDown="false" showErrorMessage="false" showInputMessage="false" sqref="J5:J25 L5:L25 N5:N25 P5:R25" type="list">
      <formula1>"Sí,No"</formula1>
      <formula2>0</formula2>
    </dataValidation>
    <dataValidation allowBlank="true" errorStyle="stop" operator="between" showDropDown="false" showErrorMessage="false" showInputMessage="false" sqref="U5:U25" type="list">
      <formula1>"Por refinar,En refinamiento,Cambio solicitado,Refinado"</formula1>
      <formula2>0</formula2>
    </dataValidation>
  </dataValidation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22"/>
    <col collapsed="false" customWidth="true" hidden="false" outlineLevel="0" max="4" min="4" style="0" width="42"/>
    <col collapsed="false" customWidth="true" hidden="false" outlineLevel="0" max="5" min="5" style="0" width="32"/>
    <col collapsed="false" customWidth="true" hidden="false" outlineLevel="0" max="6" min="6" style="0" width="30"/>
    <col collapsed="false" customWidth="true" hidden="false" outlineLevel="0" max="7" min="7" style="0" width="40"/>
    <col collapsed="false" customWidth="true" hidden="false" outlineLevel="0" max="8" min="8" style="0" width="9"/>
    <col collapsed="false" customWidth="true" hidden="false" outlineLevel="0" max="9" min="9" style="0" width="18"/>
  </cols>
  <sheetData>
    <row r="1" customFormat="false" ht="17.35" hidden="false" customHeight="false" outlineLevel="0" collapsed="false">
      <c r="A1" s="1" t="s">
        <v>338</v>
      </c>
      <c r="B1" s="1"/>
      <c r="C1" s="1"/>
      <c r="D1" s="1"/>
      <c r="E1" s="1"/>
      <c r="F1" s="1"/>
      <c r="G1" s="1"/>
      <c r="H1" s="1"/>
      <c r="I1" s="1"/>
    </row>
    <row r="2" customFormat="false" ht="15" hidden="false" customHeight="false" outlineLevel="0" collapsed="false">
      <c r="A2" s="2" t="s">
        <v>339</v>
      </c>
      <c r="B2" s="2"/>
      <c r="C2" s="2"/>
      <c r="D2" s="2"/>
      <c r="E2" s="2"/>
      <c r="F2" s="2"/>
      <c r="G2" s="2"/>
      <c r="H2" s="2"/>
      <c r="I2" s="2"/>
    </row>
    <row r="4" customFormat="false" ht="23.85" hidden="false" customHeight="false" outlineLevel="0" collapsed="false">
      <c r="A4" s="3" t="s">
        <v>340</v>
      </c>
      <c r="B4" s="3" t="s">
        <v>341</v>
      </c>
      <c r="C4" s="3" t="s">
        <v>342</v>
      </c>
      <c r="D4" s="3" t="s">
        <v>343</v>
      </c>
      <c r="E4" s="3" t="s">
        <v>344</v>
      </c>
      <c r="F4" s="3" t="s">
        <v>8</v>
      </c>
      <c r="G4" s="3" t="s">
        <v>345</v>
      </c>
      <c r="H4" s="3" t="s">
        <v>346</v>
      </c>
      <c r="I4" s="3" t="s">
        <v>347</v>
      </c>
    </row>
    <row r="5" customFormat="false" ht="69.75" hidden="false" customHeight="true" outlineLevel="0" collapsed="false">
      <c r="A5" s="5" t="s">
        <v>348</v>
      </c>
      <c r="B5" s="6" t="s">
        <v>349</v>
      </c>
      <c r="C5" s="6" t="s">
        <v>350</v>
      </c>
      <c r="D5" s="6" t="s">
        <v>351</v>
      </c>
      <c r="E5" s="6" t="s">
        <v>352</v>
      </c>
      <c r="F5" s="6" t="s">
        <v>353</v>
      </c>
      <c r="G5" s="6" t="s">
        <v>354</v>
      </c>
      <c r="H5" s="5" t="s">
        <v>40</v>
      </c>
      <c r="I5" s="6" t="s">
        <v>355</v>
      </c>
    </row>
    <row r="6" customFormat="false" ht="69.75" hidden="false" customHeight="true" outlineLevel="0" collapsed="false">
      <c r="A6" s="5" t="s">
        <v>356</v>
      </c>
      <c r="B6" s="6" t="s">
        <v>357</v>
      </c>
      <c r="C6" s="6" t="s">
        <v>358</v>
      </c>
      <c r="D6" s="6" t="s">
        <v>359</v>
      </c>
      <c r="E6" s="6" t="s">
        <v>360</v>
      </c>
      <c r="F6" s="6" t="s">
        <v>361</v>
      </c>
      <c r="G6" s="6" t="s">
        <v>362</v>
      </c>
      <c r="H6" s="5" t="s">
        <v>40</v>
      </c>
      <c r="I6" s="6" t="s">
        <v>363</v>
      </c>
    </row>
    <row r="7" customFormat="false" ht="69.75" hidden="false" customHeight="true" outlineLevel="0" collapsed="false">
      <c r="A7" s="5" t="s">
        <v>364</v>
      </c>
      <c r="B7" s="6" t="s">
        <v>365</v>
      </c>
      <c r="C7" s="6" t="s">
        <v>366</v>
      </c>
      <c r="D7" s="6" t="s">
        <v>367</v>
      </c>
      <c r="E7" s="6" t="s">
        <v>368</v>
      </c>
      <c r="F7" s="6" t="s">
        <v>369</v>
      </c>
      <c r="G7" s="6" t="s">
        <v>370</v>
      </c>
      <c r="H7" s="5" t="s">
        <v>40</v>
      </c>
      <c r="I7" s="6" t="s">
        <v>52</v>
      </c>
    </row>
    <row r="8" customFormat="false" ht="69.75" hidden="false" customHeight="true" outlineLevel="0" collapsed="false">
      <c r="A8" s="5" t="s">
        <v>371</v>
      </c>
      <c r="B8" s="6" t="s">
        <v>349</v>
      </c>
      <c r="C8" s="6" t="s">
        <v>372</v>
      </c>
      <c r="D8" s="6" t="s">
        <v>373</v>
      </c>
      <c r="E8" s="6" t="s">
        <v>374</v>
      </c>
      <c r="F8" s="6" t="s">
        <v>375</v>
      </c>
      <c r="G8" s="6" t="s">
        <v>376</v>
      </c>
      <c r="H8" s="5" t="s">
        <v>40</v>
      </c>
      <c r="I8" s="6" t="s">
        <v>52</v>
      </c>
    </row>
    <row r="9" customFormat="false" ht="69.75" hidden="false" customHeight="true" outlineLevel="0" collapsed="false">
      <c r="A9" s="5" t="s">
        <v>377</v>
      </c>
      <c r="B9" s="6" t="s">
        <v>378</v>
      </c>
      <c r="C9" s="6" t="s">
        <v>379</v>
      </c>
      <c r="D9" s="6" t="s">
        <v>380</v>
      </c>
      <c r="E9" s="6" t="s">
        <v>381</v>
      </c>
      <c r="F9" s="6" t="s">
        <v>382</v>
      </c>
      <c r="G9" s="6" t="s">
        <v>383</v>
      </c>
      <c r="H9" s="5" t="s">
        <v>40</v>
      </c>
      <c r="I9" s="6" t="s">
        <v>384</v>
      </c>
    </row>
    <row r="10" customFormat="false" ht="69.75" hidden="false" customHeight="true" outlineLevel="0" collapsed="false">
      <c r="A10" s="5" t="s">
        <v>385</v>
      </c>
      <c r="B10" s="6" t="s">
        <v>386</v>
      </c>
      <c r="C10" s="6" t="s">
        <v>387</v>
      </c>
      <c r="D10" s="6" t="s">
        <v>388</v>
      </c>
      <c r="E10" s="6" t="s">
        <v>389</v>
      </c>
      <c r="F10" s="6" t="s">
        <v>390</v>
      </c>
      <c r="G10" s="6" t="s">
        <v>391</v>
      </c>
      <c r="H10" s="5" t="s">
        <v>41</v>
      </c>
      <c r="I10" s="6" t="s">
        <v>52</v>
      </c>
    </row>
    <row r="11" customFormat="false" ht="69.75" hidden="false" customHeight="true" outlineLevel="0" collapsed="false">
      <c r="A11" s="5" t="s">
        <v>392</v>
      </c>
      <c r="B11" s="6" t="s">
        <v>393</v>
      </c>
      <c r="C11" s="6" t="s">
        <v>394</v>
      </c>
      <c r="D11" s="6" t="s">
        <v>395</v>
      </c>
      <c r="E11" s="6" t="s">
        <v>396</v>
      </c>
      <c r="F11" s="6" t="s">
        <v>397</v>
      </c>
      <c r="G11" s="6" t="s">
        <v>398</v>
      </c>
      <c r="H11" s="5" t="s">
        <v>41</v>
      </c>
      <c r="I11" s="6" t="s">
        <v>52</v>
      </c>
    </row>
    <row r="12" customFormat="false" ht="69.75" hidden="false" customHeight="true" outlineLevel="0" collapsed="false">
      <c r="A12" s="5" t="s">
        <v>399</v>
      </c>
      <c r="B12" s="6" t="s">
        <v>378</v>
      </c>
      <c r="C12" s="6" t="s">
        <v>400</v>
      </c>
      <c r="D12" s="6" t="s">
        <v>401</v>
      </c>
      <c r="E12" s="6" t="s">
        <v>402</v>
      </c>
      <c r="F12" s="6" t="s">
        <v>403</v>
      </c>
      <c r="G12" s="6" t="s">
        <v>404</v>
      </c>
      <c r="H12" s="5" t="s">
        <v>40</v>
      </c>
      <c r="I12" s="6" t="s">
        <v>52</v>
      </c>
    </row>
    <row r="13" customFormat="false" ht="69.75" hidden="false" customHeight="true" outlineLevel="0" collapsed="false">
      <c r="A13" s="5" t="s">
        <v>405</v>
      </c>
      <c r="B13" s="6" t="s">
        <v>349</v>
      </c>
      <c r="C13" s="6" t="s">
        <v>406</v>
      </c>
      <c r="D13" s="6" t="s">
        <v>407</v>
      </c>
      <c r="E13" s="6" t="s">
        <v>408</v>
      </c>
      <c r="F13" s="6" t="s">
        <v>409</v>
      </c>
      <c r="G13" s="6" t="s">
        <v>410</v>
      </c>
      <c r="H13" s="5" t="s">
        <v>41</v>
      </c>
      <c r="I13" s="6" t="s">
        <v>52</v>
      </c>
    </row>
    <row r="14" customFormat="false" ht="69.75" hidden="false" customHeight="true" outlineLevel="0" collapsed="false">
      <c r="A14" s="5" t="s">
        <v>411</v>
      </c>
      <c r="B14" s="6" t="s">
        <v>378</v>
      </c>
      <c r="C14" s="6" t="s">
        <v>412</v>
      </c>
      <c r="D14" s="6" t="s">
        <v>413</v>
      </c>
      <c r="E14" s="6" t="s">
        <v>414</v>
      </c>
      <c r="F14" s="6" t="s">
        <v>415</v>
      </c>
      <c r="G14" s="6" t="s">
        <v>416</v>
      </c>
      <c r="H14" s="5" t="s">
        <v>40</v>
      </c>
      <c r="I14" s="6" t="s">
        <v>52</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26"/>
    <col collapsed="false" customWidth="true" hidden="false" outlineLevel="0" max="4" min="4" style="0" width="46"/>
    <col collapsed="false" customWidth="true" hidden="false" outlineLevel="0" max="5" min="5" style="0" width="30"/>
    <col collapsed="false" customWidth="true" hidden="false" outlineLevel="0" max="6" min="6" style="0" width="40"/>
  </cols>
  <sheetData>
    <row r="1" customFormat="false" ht="17.35" hidden="false" customHeight="false" outlineLevel="0" collapsed="false">
      <c r="A1" s="1" t="s">
        <v>417</v>
      </c>
      <c r="B1" s="1"/>
      <c r="C1" s="1"/>
      <c r="D1" s="1"/>
      <c r="E1" s="1"/>
      <c r="F1" s="1"/>
    </row>
    <row r="2" customFormat="false" ht="15" hidden="false" customHeight="false" outlineLevel="0" collapsed="false">
      <c r="A2" s="2" t="s">
        <v>418</v>
      </c>
      <c r="B2" s="2"/>
      <c r="C2" s="2"/>
      <c r="D2" s="2"/>
      <c r="E2" s="2"/>
      <c r="F2" s="2"/>
    </row>
    <row r="4" customFormat="false" ht="15" hidden="false" customHeight="false" outlineLevel="0" collapsed="false">
      <c r="A4" s="3" t="s">
        <v>340</v>
      </c>
      <c r="B4" s="3" t="s">
        <v>419</v>
      </c>
      <c r="C4" s="3" t="s">
        <v>420</v>
      </c>
      <c r="D4" s="3" t="s">
        <v>421</v>
      </c>
      <c r="E4" s="3" t="s">
        <v>422</v>
      </c>
      <c r="F4" s="3" t="s">
        <v>423</v>
      </c>
    </row>
    <row r="5" customFormat="false" ht="22.35" hidden="false" customHeight="false" outlineLevel="0" collapsed="false">
      <c r="A5" s="5" t="s">
        <v>424</v>
      </c>
      <c r="B5" s="6" t="s">
        <v>425</v>
      </c>
      <c r="C5" s="6" t="s">
        <v>426</v>
      </c>
      <c r="D5" s="6" t="s">
        <v>427</v>
      </c>
      <c r="E5" s="6" t="s">
        <v>428</v>
      </c>
      <c r="F5" s="6" t="s">
        <v>429</v>
      </c>
    </row>
    <row r="6" customFormat="false" ht="15" hidden="false" customHeight="false" outlineLevel="0" collapsed="false">
      <c r="A6" s="5" t="s">
        <v>430</v>
      </c>
      <c r="B6" s="6" t="s">
        <v>425</v>
      </c>
      <c r="C6" s="6" t="s">
        <v>431</v>
      </c>
      <c r="D6" s="6" t="s">
        <v>432</v>
      </c>
      <c r="E6" s="6" t="s">
        <v>428</v>
      </c>
      <c r="F6" s="6" t="s">
        <v>433</v>
      </c>
    </row>
    <row r="7" customFormat="false" ht="15" hidden="false" customHeight="false" outlineLevel="0" collapsed="false">
      <c r="A7" s="5" t="s">
        <v>434</v>
      </c>
      <c r="B7" s="6" t="s">
        <v>425</v>
      </c>
      <c r="C7" s="6" t="s">
        <v>435</v>
      </c>
      <c r="D7" s="6" t="s">
        <v>436</v>
      </c>
      <c r="E7" s="6" t="s">
        <v>437</v>
      </c>
      <c r="F7" s="6" t="s">
        <v>438</v>
      </c>
    </row>
    <row r="8" customFormat="false" ht="15" hidden="false" customHeight="false" outlineLevel="0" collapsed="false">
      <c r="A8" s="5" t="s">
        <v>439</v>
      </c>
      <c r="B8" s="6" t="s">
        <v>425</v>
      </c>
      <c r="C8" s="6" t="s">
        <v>440</v>
      </c>
      <c r="D8" s="6" t="s">
        <v>441</v>
      </c>
      <c r="E8" s="6" t="s">
        <v>442</v>
      </c>
      <c r="F8" s="6" t="s">
        <v>443</v>
      </c>
    </row>
    <row r="9" customFormat="false" ht="15" hidden="false" customHeight="false" outlineLevel="0" collapsed="false">
      <c r="A9" s="5" t="s">
        <v>444</v>
      </c>
      <c r="B9" s="6" t="s">
        <v>445</v>
      </c>
      <c r="C9" s="6" t="s">
        <v>446</v>
      </c>
      <c r="D9" s="6" t="s">
        <v>447</v>
      </c>
      <c r="E9" s="6" t="s">
        <v>448</v>
      </c>
      <c r="F9" s="6" t="s">
        <v>449</v>
      </c>
    </row>
    <row r="10" customFormat="false" ht="15" hidden="false" customHeight="false" outlineLevel="0" collapsed="false">
      <c r="A10" s="5" t="s">
        <v>450</v>
      </c>
      <c r="B10" s="6" t="s">
        <v>445</v>
      </c>
      <c r="C10" s="6" t="s">
        <v>451</v>
      </c>
      <c r="D10" s="6" t="s">
        <v>452</v>
      </c>
      <c r="E10" s="6" t="s">
        <v>453</v>
      </c>
      <c r="F10" s="6" t="s">
        <v>454</v>
      </c>
    </row>
    <row r="11" customFormat="false" ht="15" hidden="false" customHeight="false" outlineLevel="0" collapsed="false">
      <c r="A11" s="5" t="s">
        <v>455</v>
      </c>
      <c r="B11" s="6" t="s">
        <v>445</v>
      </c>
      <c r="C11" s="6" t="s">
        <v>456</v>
      </c>
      <c r="D11" s="6" t="s">
        <v>457</v>
      </c>
      <c r="E11" s="6" t="s">
        <v>448</v>
      </c>
      <c r="F11" s="6" t="s">
        <v>458</v>
      </c>
    </row>
    <row r="12" customFormat="false" ht="15" hidden="false" customHeight="false" outlineLevel="0" collapsed="false">
      <c r="A12" s="5" t="s">
        <v>459</v>
      </c>
      <c r="B12" s="6" t="s">
        <v>445</v>
      </c>
      <c r="C12" s="6" t="s">
        <v>460</v>
      </c>
      <c r="D12" s="6" t="s">
        <v>461</v>
      </c>
      <c r="E12" s="6" t="s">
        <v>462</v>
      </c>
      <c r="F12" s="6" t="s">
        <v>463</v>
      </c>
    </row>
    <row r="13" customFormat="false" ht="15" hidden="false" customHeight="false" outlineLevel="0" collapsed="false">
      <c r="A13" s="5" t="s">
        <v>464</v>
      </c>
      <c r="B13" s="6" t="s">
        <v>445</v>
      </c>
      <c r="C13" s="6" t="s">
        <v>465</v>
      </c>
      <c r="D13" s="6" t="s">
        <v>466</v>
      </c>
      <c r="E13" s="6" t="s">
        <v>467</v>
      </c>
      <c r="F13" s="6" t="s">
        <v>468</v>
      </c>
    </row>
    <row r="14" customFormat="false" ht="22.35" hidden="false" customHeight="false" outlineLevel="0" collapsed="false">
      <c r="A14" s="5" t="s">
        <v>469</v>
      </c>
      <c r="B14" s="6" t="s">
        <v>470</v>
      </c>
      <c r="C14" s="6" t="s">
        <v>471</v>
      </c>
      <c r="D14" s="6" t="s">
        <v>472</v>
      </c>
      <c r="E14" s="6" t="s">
        <v>473</v>
      </c>
      <c r="F14" s="6" t="s">
        <v>474</v>
      </c>
    </row>
    <row r="15" customFormat="false" ht="22.35" hidden="false" customHeight="false" outlineLevel="0" collapsed="false">
      <c r="A15" s="5" t="s">
        <v>475</v>
      </c>
      <c r="B15" s="6" t="s">
        <v>470</v>
      </c>
      <c r="C15" s="6" t="s">
        <v>476</v>
      </c>
      <c r="D15" s="6" t="s">
        <v>477</v>
      </c>
      <c r="E15" s="6" t="s">
        <v>478</v>
      </c>
      <c r="F15" s="6" t="s">
        <v>479</v>
      </c>
    </row>
    <row r="16" customFormat="false" ht="22.35" hidden="false" customHeight="false" outlineLevel="0" collapsed="false">
      <c r="A16" s="5" t="s">
        <v>480</v>
      </c>
      <c r="B16" s="6" t="s">
        <v>481</v>
      </c>
      <c r="C16" s="6" t="s">
        <v>482</v>
      </c>
      <c r="D16" s="6" t="s">
        <v>483</v>
      </c>
      <c r="E16" s="6" t="s">
        <v>484</v>
      </c>
      <c r="F16" s="6" t="s">
        <v>485</v>
      </c>
    </row>
    <row r="17" customFormat="false" ht="15" hidden="false" customHeight="false" outlineLevel="0" collapsed="false">
      <c r="A17" s="5" t="s">
        <v>486</v>
      </c>
      <c r="B17" s="6" t="s">
        <v>481</v>
      </c>
      <c r="C17" s="6" t="s">
        <v>487</v>
      </c>
      <c r="D17" s="6" t="s">
        <v>488</v>
      </c>
      <c r="E17" s="6" t="s">
        <v>489</v>
      </c>
      <c r="F17" s="6" t="s">
        <v>490</v>
      </c>
    </row>
    <row r="18" customFormat="false" ht="15" hidden="false" customHeight="false" outlineLevel="0" collapsed="false">
      <c r="A18" s="5" t="s">
        <v>491</v>
      </c>
      <c r="B18" s="6" t="s">
        <v>492</v>
      </c>
      <c r="C18" s="6" t="s">
        <v>493</v>
      </c>
      <c r="D18" s="6" t="s">
        <v>494</v>
      </c>
      <c r="E18" s="6" t="s">
        <v>495</v>
      </c>
      <c r="F18" s="6" t="s">
        <v>496</v>
      </c>
    </row>
    <row r="19" customFormat="false" ht="15" hidden="false" customHeight="false" outlineLevel="0" collapsed="false">
      <c r="A19" s="5" t="s">
        <v>497</v>
      </c>
      <c r="B19" s="6" t="s">
        <v>492</v>
      </c>
      <c r="C19" s="6" t="s">
        <v>498</v>
      </c>
      <c r="D19" s="6" t="s">
        <v>499</v>
      </c>
      <c r="E19" s="6" t="s">
        <v>500</v>
      </c>
      <c r="F19" s="6" t="s">
        <v>501</v>
      </c>
    </row>
    <row r="20" customFormat="false" ht="22.35" hidden="false" customHeight="false" outlineLevel="0" collapsed="false">
      <c r="A20" s="5" t="s">
        <v>502</v>
      </c>
      <c r="B20" s="6" t="s">
        <v>492</v>
      </c>
      <c r="C20" s="6" t="s">
        <v>503</v>
      </c>
      <c r="D20" s="6" t="s">
        <v>504</v>
      </c>
      <c r="E20" s="6" t="s">
        <v>505</v>
      </c>
      <c r="F20" s="6" t="s">
        <v>506</v>
      </c>
    </row>
    <row r="21" customFormat="false" ht="22.35" hidden="false" customHeight="false" outlineLevel="0" collapsed="false">
      <c r="A21" s="5" t="s">
        <v>507</v>
      </c>
      <c r="B21" s="6" t="s">
        <v>492</v>
      </c>
      <c r="C21" s="6" t="s">
        <v>508</v>
      </c>
      <c r="D21" s="6" t="s">
        <v>509</v>
      </c>
      <c r="E21" s="6" t="s">
        <v>510</v>
      </c>
      <c r="F21" s="6" t="s">
        <v>511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2" min="2" style="0" width="6"/>
    <col collapsed="false" customWidth="true" hidden="false" outlineLevel="0" max="23" min="23" style="0" width="14"/>
  </cols>
  <sheetData>
    <row r="1" customFormat="false" ht="17.35" hidden="false" customHeight="false" outlineLevel="0" collapsed="false">
      <c r="A1" s="1" t="s">
        <v>512</v>
      </c>
      <c r="B1" s="1"/>
      <c r="C1" s="1"/>
      <c r="D1" s="1"/>
      <c r="E1" s="1"/>
      <c r="F1" s="1"/>
      <c r="G1" s="1"/>
      <c r="H1" s="1"/>
      <c r="I1" s="1"/>
      <c r="J1" s="1"/>
      <c r="K1" s="1"/>
      <c r="L1" s="1"/>
      <c r="M1" s="1"/>
      <c r="N1" s="1"/>
      <c r="O1" s="1"/>
      <c r="P1" s="1"/>
      <c r="Q1" s="1"/>
      <c r="R1" s="1"/>
      <c r="S1" s="1"/>
      <c r="T1" s="1"/>
      <c r="U1" s="1"/>
      <c r="V1" s="1"/>
      <c r="W1" s="1"/>
    </row>
    <row r="2" customFormat="false" ht="15" hidden="false" customHeight="false" outlineLevel="0" collapsed="false">
      <c r="A2" s="2" t="s">
        <v>513</v>
      </c>
      <c r="B2" s="2"/>
      <c r="C2" s="2"/>
      <c r="D2" s="2"/>
      <c r="E2" s="2"/>
      <c r="F2" s="2"/>
      <c r="G2" s="2"/>
      <c r="H2" s="2"/>
      <c r="I2" s="2"/>
      <c r="J2" s="2"/>
      <c r="K2" s="2"/>
      <c r="L2" s="2"/>
      <c r="M2" s="2"/>
      <c r="N2" s="2"/>
      <c r="O2" s="2"/>
      <c r="P2" s="2"/>
      <c r="Q2" s="2"/>
      <c r="R2" s="2"/>
      <c r="S2" s="2"/>
      <c r="T2" s="2"/>
      <c r="U2" s="2"/>
      <c r="V2" s="2"/>
      <c r="W2" s="2"/>
    </row>
    <row r="4" customFormat="false" ht="23.85" hidden="false" customHeight="false" outlineLevel="0" collapsed="false">
      <c r="A4" s="3" t="s">
        <v>514</v>
      </c>
      <c r="B4" s="3" t="s">
        <v>31</v>
      </c>
      <c r="C4" s="3" t="s">
        <v>53</v>
      </c>
      <c r="D4" s="3" t="s">
        <v>67</v>
      </c>
      <c r="E4" s="3" t="s">
        <v>80</v>
      </c>
      <c r="F4" s="3" t="s">
        <v>94</v>
      </c>
      <c r="G4" s="3" t="s">
        <v>108</v>
      </c>
      <c r="H4" s="3" t="s">
        <v>121</v>
      </c>
      <c r="I4" s="3" t="s">
        <v>135</v>
      </c>
      <c r="J4" s="3" t="s">
        <v>152</v>
      </c>
      <c r="K4" s="3" t="s">
        <v>164</v>
      </c>
      <c r="L4" s="3" t="s">
        <v>177</v>
      </c>
      <c r="M4" s="3" t="s">
        <v>191</v>
      </c>
      <c r="N4" s="3" t="s">
        <v>205</v>
      </c>
      <c r="O4" s="3" t="s">
        <v>218</v>
      </c>
      <c r="P4" s="3" t="s">
        <v>233</v>
      </c>
      <c r="Q4" s="3" t="s">
        <v>247</v>
      </c>
      <c r="R4" s="3" t="s">
        <v>260</v>
      </c>
      <c r="S4" s="3" t="s">
        <v>275</v>
      </c>
      <c r="T4" s="3" t="s">
        <v>288</v>
      </c>
      <c r="U4" s="3" t="s">
        <v>304</v>
      </c>
      <c r="V4" s="3" t="s">
        <v>319</v>
      </c>
      <c r="W4" s="3" t="s">
        <v>515</v>
      </c>
    </row>
    <row r="5" customFormat="false" ht="45" hidden="false" customHeight="true" outlineLevel="0" collapsed="false">
      <c r="A5" s="6" t="s">
        <v>33</v>
      </c>
      <c r="B5" s="5" t="s">
        <v>516</v>
      </c>
      <c r="C5" s="5" t="s">
        <v>516</v>
      </c>
      <c r="D5" s="5" t="s">
        <v>516</v>
      </c>
      <c r="E5" s="5" t="s">
        <v>516</v>
      </c>
      <c r="F5" s="5"/>
      <c r="G5" s="5"/>
      <c r="H5" s="5"/>
      <c r="I5" s="5"/>
      <c r="J5" s="5"/>
      <c r="K5" s="5"/>
      <c r="L5" s="5"/>
      <c r="M5" s="5"/>
      <c r="N5" s="5" t="s">
        <v>516</v>
      </c>
      <c r="O5" s="5"/>
      <c r="P5" s="5"/>
      <c r="Q5" s="5"/>
      <c r="R5" s="5"/>
      <c r="S5" s="5"/>
      <c r="T5" s="5"/>
      <c r="U5" s="5"/>
      <c r="V5" s="5"/>
      <c r="W5" s="10" t="n">
        <f aca="false">COUNTIF(B5:V5,"X")</f>
        <v>5</v>
      </c>
    </row>
    <row r="6" customFormat="false" ht="45" hidden="false" customHeight="true" outlineLevel="0" collapsed="false">
      <c r="A6" s="6" t="s">
        <v>123</v>
      </c>
      <c r="B6" s="5"/>
      <c r="C6" s="5"/>
      <c r="D6" s="5"/>
      <c r="E6" s="5"/>
      <c r="F6" s="5"/>
      <c r="G6" s="5"/>
      <c r="H6" s="5" t="s">
        <v>516</v>
      </c>
      <c r="I6" s="5"/>
      <c r="J6" s="5" t="s">
        <v>516</v>
      </c>
      <c r="K6" s="5" t="s">
        <v>516</v>
      </c>
      <c r="L6" s="5" t="s">
        <v>516</v>
      </c>
      <c r="M6" s="5"/>
      <c r="N6" s="5"/>
      <c r="O6" s="5"/>
      <c r="P6" s="5"/>
      <c r="Q6" s="5"/>
      <c r="R6" s="5"/>
      <c r="S6" s="5"/>
      <c r="T6" s="5"/>
      <c r="U6" s="5"/>
      <c r="V6" s="5"/>
      <c r="W6" s="10" t="n">
        <f aca="false">COUNTIF(B6:V6,"X")</f>
        <v>4</v>
      </c>
    </row>
    <row r="7" customFormat="false" ht="45" hidden="false" customHeight="true" outlineLevel="0" collapsed="false">
      <c r="A7" s="6" t="s">
        <v>96</v>
      </c>
      <c r="B7" s="5"/>
      <c r="C7" s="5" t="s">
        <v>516</v>
      </c>
      <c r="D7" s="5"/>
      <c r="E7" s="5"/>
      <c r="F7" s="5" t="s">
        <v>516</v>
      </c>
      <c r="G7" s="5" t="s">
        <v>516</v>
      </c>
      <c r="H7" s="5"/>
      <c r="I7" s="5"/>
      <c r="J7" s="5"/>
      <c r="K7" s="5"/>
      <c r="L7" s="5"/>
      <c r="M7" s="5"/>
      <c r="N7" s="5" t="s">
        <v>516</v>
      </c>
      <c r="O7" s="5"/>
      <c r="P7" s="5"/>
      <c r="Q7" s="5"/>
      <c r="R7" s="5"/>
      <c r="S7" s="5"/>
      <c r="T7" s="5"/>
      <c r="U7" s="5"/>
      <c r="V7" s="5" t="s">
        <v>516</v>
      </c>
      <c r="W7" s="10" t="n">
        <f aca="false">COUNTIF(B7:V7,"X")</f>
        <v>5</v>
      </c>
    </row>
    <row r="8" customFormat="false" ht="45" hidden="false" customHeight="true" outlineLevel="0" collapsed="false">
      <c r="A8" s="6" t="s">
        <v>137</v>
      </c>
      <c r="B8" s="5"/>
      <c r="C8" s="5"/>
      <c r="D8" s="5"/>
      <c r="E8" s="5"/>
      <c r="F8" s="5"/>
      <c r="G8" s="5"/>
      <c r="H8" s="5"/>
      <c r="I8" s="5" t="s">
        <v>516</v>
      </c>
      <c r="J8" s="5"/>
      <c r="K8" s="5"/>
      <c r="L8" s="5"/>
      <c r="M8" s="5"/>
      <c r="N8" s="5"/>
      <c r="O8" s="5"/>
      <c r="P8" s="5"/>
      <c r="Q8" s="5"/>
      <c r="R8" s="5"/>
      <c r="S8" s="5"/>
      <c r="T8" s="5"/>
      <c r="U8" s="5"/>
      <c r="V8" s="5"/>
      <c r="W8" s="10" t="n">
        <f aca="false">COUNTIF(B8:V8,"X")</f>
        <v>1</v>
      </c>
    </row>
    <row r="9" customFormat="false" ht="45" hidden="false" customHeight="true" outlineLevel="0" collapsed="false">
      <c r="A9" s="6" t="s">
        <v>193</v>
      </c>
      <c r="B9" s="5"/>
      <c r="C9" s="5"/>
      <c r="D9" s="5"/>
      <c r="E9" s="5" t="s">
        <v>516</v>
      </c>
      <c r="F9" s="5"/>
      <c r="G9" s="5"/>
      <c r="H9" s="5"/>
      <c r="I9" s="5"/>
      <c r="J9" s="5"/>
      <c r="K9" s="5"/>
      <c r="L9" s="5" t="s">
        <v>516</v>
      </c>
      <c r="M9" s="5" t="s">
        <v>516</v>
      </c>
      <c r="N9" s="5"/>
      <c r="O9" s="5" t="s">
        <v>516</v>
      </c>
      <c r="P9" s="5"/>
      <c r="Q9" s="5"/>
      <c r="R9" s="5"/>
      <c r="S9" s="5" t="s">
        <v>516</v>
      </c>
      <c r="T9" s="5"/>
      <c r="U9" s="5"/>
      <c r="V9" s="5"/>
      <c r="W9" s="10" t="n">
        <f aca="false">COUNTIF(B9:V9,"X")</f>
        <v>5</v>
      </c>
    </row>
    <row r="10" customFormat="false" ht="45" hidden="false" customHeight="true" outlineLevel="0" collapsed="false">
      <c r="A10" s="6" t="s">
        <v>235</v>
      </c>
      <c r="B10" s="5"/>
      <c r="C10" s="5"/>
      <c r="D10" s="5"/>
      <c r="E10" s="5"/>
      <c r="F10" s="5"/>
      <c r="G10" s="5"/>
      <c r="H10" s="5"/>
      <c r="I10" s="5"/>
      <c r="J10" s="5"/>
      <c r="K10" s="5"/>
      <c r="L10" s="5"/>
      <c r="M10" s="5"/>
      <c r="N10" s="5"/>
      <c r="O10" s="5" t="s">
        <v>516</v>
      </c>
      <c r="P10" s="5" t="s">
        <v>516</v>
      </c>
      <c r="Q10" s="5" t="s">
        <v>516</v>
      </c>
      <c r="R10" s="5" t="s">
        <v>516</v>
      </c>
      <c r="S10" s="5" t="s">
        <v>516</v>
      </c>
      <c r="T10" s="5"/>
      <c r="U10" s="5"/>
      <c r="V10" s="5"/>
      <c r="W10" s="10" t="n">
        <f aca="false">COUNTIF(B10:V10,"X")</f>
        <v>5</v>
      </c>
    </row>
    <row r="11" customFormat="false" ht="45" hidden="false" customHeight="true" outlineLevel="0" collapsed="false">
      <c r="A11" s="6" t="s">
        <v>290</v>
      </c>
      <c r="B11" s="5"/>
      <c r="C11" s="5"/>
      <c r="D11" s="5"/>
      <c r="E11" s="5"/>
      <c r="F11" s="5"/>
      <c r="G11" s="5"/>
      <c r="H11" s="5"/>
      <c r="I11" s="5"/>
      <c r="J11" s="5"/>
      <c r="K11" s="5"/>
      <c r="L11" s="5"/>
      <c r="M11" s="5"/>
      <c r="N11" s="5"/>
      <c r="O11" s="5"/>
      <c r="P11" s="5"/>
      <c r="Q11" s="5"/>
      <c r="R11" s="5"/>
      <c r="S11" s="5"/>
      <c r="T11" s="5" t="s">
        <v>516</v>
      </c>
      <c r="U11" s="5"/>
      <c r="V11" s="5"/>
      <c r="W11" s="10" t="n">
        <f aca="false">COUNTIF(B11:V11,"X")</f>
        <v>1</v>
      </c>
    </row>
    <row r="12" customFormat="false" ht="45" hidden="false" customHeight="true" outlineLevel="0" collapsed="false">
      <c r="A12" s="6" t="s">
        <v>306</v>
      </c>
      <c r="B12" s="5"/>
      <c r="C12" s="5"/>
      <c r="D12" s="5"/>
      <c r="E12" s="5"/>
      <c r="F12" s="5"/>
      <c r="G12" s="5"/>
      <c r="H12" s="5"/>
      <c r="I12" s="5"/>
      <c r="J12" s="5"/>
      <c r="K12" s="5"/>
      <c r="L12" s="5"/>
      <c r="M12" s="5"/>
      <c r="N12" s="5"/>
      <c r="O12" s="5"/>
      <c r="P12" s="5"/>
      <c r="Q12" s="5"/>
      <c r="R12" s="5"/>
      <c r="S12" s="5"/>
      <c r="T12" s="5"/>
      <c r="U12" s="5" t="s">
        <v>516</v>
      </c>
      <c r="V12" s="5"/>
      <c r="W12" s="10" t="n">
        <f aca="false">COUNTIF(B12:V12,"X")</f>
        <v>1</v>
      </c>
    </row>
    <row r="13" customFormat="false" ht="15" hidden="false" customHeight="false" outlineLevel="0" collapsed="false">
      <c r="A13" s="11" t="s">
        <v>517</v>
      </c>
      <c r="B13" s="5" t="n">
        <f aca="false">COUNTIF(B5:B12,"X")</f>
        <v>1</v>
      </c>
      <c r="C13" s="5" t="n">
        <f aca="false">COUNTIF(C5:C12,"X")</f>
        <v>2</v>
      </c>
      <c r="D13" s="5" t="n">
        <f aca="false">COUNTIF(D5:D12,"X")</f>
        <v>1</v>
      </c>
      <c r="E13" s="5" t="n">
        <f aca="false">COUNTIF(E5:E12,"X")</f>
        <v>2</v>
      </c>
      <c r="F13" s="5" t="n">
        <f aca="false">COUNTIF(F5:F12,"X")</f>
        <v>1</v>
      </c>
      <c r="G13" s="5" t="n">
        <f aca="false">COUNTIF(G5:G12,"X")</f>
        <v>1</v>
      </c>
      <c r="H13" s="5" t="n">
        <f aca="false">COUNTIF(H5:H12,"X")</f>
        <v>1</v>
      </c>
      <c r="I13" s="5" t="n">
        <f aca="false">COUNTIF(I5:I12,"X")</f>
        <v>1</v>
      </c>
      <c r="J13" s="5" t="n">
        <f aca="false">COUNTIF(J5:J12,"X")</f>
        <v>1</v>
      </c>
      <c r="K13" s="5" t="n">
        <f aca="false">COUNTIF(K5:K12,"X")</f>
        <v>1</v>
      </c>
      <c r="L13" s="5" t="n">
        <f aca="false">COUNTIF(L5:L12,"X")</f>
        <v>2</v>
      </c>
      <c r="M13" s="5" t="n">
        <f aca="false">COUNTIF(M5:M12,"X")</f>
        <v>1</v>
      </c>
      <c r="N13" s="5" t="n">
        <f aca="false">COUNTIF(N5:N12,"X")</f>
        <v>2</v>
      </c>
      <c r="O13" s="5" t="n">
        <f aca="false">COUNTIF(O5:O12,"X")</f>
        <v>2</v>
      </c>
      <c r="P13" s="5" t="n">
        <f aca="false">COUNTIF(P5:P12,"X")</f>
        <v>1</v>
      </c>
      <c r="Q13" s="5" t="n">
        <f aca="false">COUNTIF(Q5:Q12,"X")</f>
        <v>1</v>
      </c>
      <c r="R13" s="5" t="n">
        <f aca="false">COUNTIF(R5:R12,"X")</f>
        <v>1</v>
      </c>
      <c r="S13" s="5" t="n">
        <f aca="false">COUNTIF(S5:S12,"X")</f>
        <v>2</v>
      </c>
      <c r="T13" s="5" t="n">
        <f aca="false">COUNTIF(T5:T12,"X")</f>
        <v>1</v>
      </c>
      <c r="U13" s="5" t="n">
        <f aca="false">COUNTIF(U5:U12,"X")</f>
        <v>1</v>
      </c>
      <c r="V13" s="5" t="n">
        <f aca="false">COUNTIF(V5:V12,"X")</f>
        <v>1</v>
      </c>
    </row>
    <row r="16" customFormat="false" ht="15" hidden="false" customHeight="false" outlineLevel="0" collapsed="false">
      <c r="A16" s="12" t="s">
        <v>518</v>
      </c>
    </row>
    <row r="17" customFormat="false" ht="43.25" hidden="false" customHeight="false" outlineLevel="0" collapsed="false">
      <c r="A17" s="13" t="s">
        <v>519</v>
      </c>
      <c r="B17" s="13" t="s">
        <v>514</v>
      </c>
      <c r="C17" s="13" t="s">
        <v>520</v>
      </c>
      <c r="D17" s="13" t="s">
        <v>26</v>
      </c>
      <c r="E17" s="13" t="s">
        <v>27</v>
      </c>
      <c r="F17" s="13" t="s">
        <v>521</v>
      </c>
      <c r="G17" s="13" t="s">
        <v>29</v>
      </c>
      <c r="H17" s="13" t="s">
        <v>522</v>
      </c>
    </row>
    <row r="18" customFormat="false" ht="116.4" hidden="false" customHeight="false" outlineLevel="0" collapsed="false">
      <c r="A18" s="6" t="s">
        <v>523</v>
      </c>
      <c r="B18" s="6" t="s">
        <v>524</v>
      </c>
      <c r="C18" s="6" t="s">
        <v>525</v>
      </c>
      <c r="D18" s="6" t="s">
        <v>48</v>
      </c>
      <c r="E18" s="6" t="s">
        <v>49</v>
      </c>
      <c r="F18" s="6" t="s">
        <v>50</v>
      </c>
      <c r="G18" s="6" t="s">
        <v>51</v>
      </c>
      <c r="H18" s="6" t="s">
        <v>43</v>
      </c>
    </row>
    <row r="19" customFormat="false" ht="105.95" hidden="false" customHeight="false" outlineLevel="0" collapsed="false">
      <c r="A19" s="6" t="s">
        <v>526</v>
      </c>
      <c r="B19" s="6" t="s">
        <v>527</v>
      </c>
      <c r="C19" s="6" t="s">
        <v>528</v>
      </c>
      <c r="D19" s="6" t="s">
        <v>48</v>
      </c>
      <c r="E19" s="6" t="s">
        <v>64</v>
      </c>
      <c r="F19" s="6" t="s">
        <v>65</v>
      </c>
      <c r="G19" s="6" t="s">
        <v>66</v>
      </c>
      <c r="H19" s="6" t="s">
        <v>63</v>
      </c>
    </row>
    <row r="20" customFormat="false" ht="74.6" hidden="false" customHeight="false" outlineLevel="0" collapsed="false">
      <c r="A20" s="6" t="s">
        <v>529</v>
      </c>
      <c r="B20" s="6" t="s">
        <v>524</v>
      </c>
      <c r="C20" s="6" t="s">
        <v>530</v>
      </c>
      <c r="D20" s="6" t="s">
        <v>48</v>
      </c>
      <c r="E20" s="6" t="s">
        <v>77</v>
      </c>
      <c r="F20" s="6" t="s">
        <v>78</v>
      </c>
      <c r="G20" s="6" t="s">
        <v>79</v>
      </c>
      <c r="H20" s="6" t="s">
        <v>76</v>
      </c>
    </row>
    <row r="21" customFormat="false" ht="85.05" hidden="false" customHeight="false" outlineLevel="0" collapsed="false">
      <c r="A21" s="6" t="s">
        <v>531</v>
      </c>
      <c r="B21" s="6" t="s">
        <v>532</v>
      </c>
      <c r="C21" s="6" t="s">
        <v>533</v>
      </c>
      <c r="D21" s="6" t="s">
        <v>48</v>
      </c>
      <c r="E21" s="6" t="s">
        <v>91</v>
      </c>
      <c r="F21" s="6" t="s">
        <v>92</v>
      </c>
      <c r="G21" s="6" t="s">
        <v>93</v>
      </c>
      <c r="H21" s="6" t="s">
        <v>90</v>
      </c>
    </row>
    <row r="22" customFormat="false" ht="137.3" hidden="false" customHeight="false" outlineLevel="0" collapsed="false">
      <c r="A22" s="6" t="s">
        <v>534</v>
      </c>
      <c r="B22" s="6" t="s">
        <v>535</v>
      </c>
      <c r="C22" s="6" t="s">
        <v>536</v>
      </c>
      <c r="D22" s="6" t="s">
        <v>48</v>
      </c>
      <c r="E22" s="6" t="s">
        <v>105</v>
      </c>
      <c r="F22" s="6" t="s">
        <v>106</v>
      </c>
      <c r="G22" s="6" t="s">
        <v>107</v>
      </c>
      <c r="H22" s="6" t="s">
        <v>104</v>
      </c>
    </row>
    <row r="23" customFormat="false" ht="95.5" hidden="false" customHeight="false" outlineLevel="0" collapsed="false">
      <c r="A23" s="6" t="s">
        <v>537</v>
      </c>
      <c r="B23" s="6" t="s">
        <v>535</v>
      </c>
      <c r="C23" s="6" t="s">
        <v>538</v>
      </c>
      <c r="D23" s="6" t="s">
        <v>48</v>
      </c>
      <c r="E23" s="6" t="s">
        <v>118</v>
      </c>
      <c r="F23" s="6" t="s">
        <v>119</v>
      </c>
      <c r="G23" s="6" t="s">
        <v>120</v>
      </c>
      <c r="H23" s="6" t="s">
        <v>117</v>
      </c>
    </row>
    <row r="24" customFormat="false" ht="85.05" hidden="false" customHeight="false" outlineLevel="0" collapsed="false">
      <c r="A24" s="6" t="s">
        <v>539</v>
      </c>
      <c r="B24" s="6" t="s">
        <v>540</v>
      </c>
      <c r="C24" s="6" t="s">
        <v>541</v>
      </c>
      <c r="D24" s="6" t="s">
        <v>48</v>
      </c>
      <c r="E24" s="6" t="s">
        <v>132</v>
      </c>
      <c r="F24" s="6" t="s">
        <v>133</v>
      </c>
      <c r="G24" s="6" t="s">
        <v>134</v>
      </c>
      <c r="H24" s="6" t="s">
        <v>131</v>
      </c>
    </row>
    <row r="25" customFormat="false" ht="116.4" hidden="false" customHeight="false" outlineLevel="0" collapsed="false">
      <c r="A25" s="6" t="s">
        <v>542</v>
      </c>
      <c r="B25" s="6" t="s">
        <v>543</v>
      </c>
      <c r="C25" s="6" t="s">
        <v>544</v>
      </c>
      <c r="D25" s="6" t="s">
        <v>48</v>
      </c>
      <c r="E25" s="6" t="s">
        <v>149</v>
      </c>
      <c r="F25" s="6" t="s">
        <v>150</v>
      </c>
      <c r="G25" s="6" t="s">
        <v>151</v>
      </c>
      <c r="H25" s="6" t="s">
        <v>145</v>
      </c>
    </row>
    <row r="26" customFormat="false" ht="64.15" hidden="false" customHeight="false" outlineLevel="0" collapsed="false">
      <c r="A26" s="6" t="s">
        <v>545</v>
      </c>
      <c r="B26" s="6" t="s">
        <v>540</v>
      </c>
      <c r="C26" s="6" t="s">
        <v>546</v>
      </c>
      <c r="D26" s="6" t="s">
        <v>48</v>
      </c>
      <c r="E26" s="6" t="s">
        <v>162</v>
      </c>
      <c r="F26" s="6" t="s">
        <v>163</v>
      </c>
      <c r="G26" s="6" t="s">
        <v>93</v>
      </c>
      <c r="H26" s="6" t="s">
        <v>161</v>
      </c>
    </row>
    <row r="27" customFormat="false" ht="85.05" hidden="false" customHeight="false" outlineLevel="0" collapsed="false">
      <c r="A27" s="6" t="s">
        <v>547</v>
      </c>
      <c r="B27" s="6" t="s">
        <v>540</v>
      </c>
      <c r="C27" s="6" t="s">
        <v>548</v>
      </c>
      <c r="D27" s="6" t="s">
        <v>48</v>
      </c>
      <c r="E27" s="6" t="s">
        <v>174</v>
      </c>
      <c r="F27" s="6" t="s">
        <v>175</v>
      </c>
      <c r="G27" s="6" t="s">
        <v>176</v>
      </c>
      <c r="H27" s="6" t="s">
        <v>173</v>
      </c>
    </row>
    <row r="28" customFormat="false" ht="85.05" hidden="false" customHeight="false" outlineLevel="0" collapsed="false">
      <c r="A28" s="6" t="s">
        <v>549</v>
      </c>
      <c r="B28" s="6" t="s">
        <v>550</v>
      </c>
      <c r="C28" s="6" t="s">
        <v>551</v>
      </c>
      <c r="D28" s="6" t="s">
        <v>48</v>
      </c>
      <c r="E28" s="6" t="s">
        <v>188</v>
      </c>
      <c r="F28" s="6" t="s">
        <v>189</v>
      </c>
      <c r="G28" s="6" t="s">
        <v>190</v>
      </c>
      <c r="H28" s="6" t="s">
        <v>187</v>
      </c>
    </row>
    <row r="29" customFormat="false" ht="74.6" hidden="false" customHeight="false" outlineLevel="0" collapsed="false">
      <c r="A29" s="6" t="s">
        <v>552</v>
      </c>
      <c r="B29" s="6" t="s">
        <v>553</v>
      </c>
      <c r="C29" s="6" t="s">
        <v>554</v>
      </c>
      <c r="D29" s="6" t="s">
        <v>48</v>
      </c>
      <c r="E29" s="6" t="s">
        <v>202</v>
      </c>
      <c r="F29" s="6" t="s">
        <v>203</v>
      </c>
      <c r="G29" s="6" t="s">
        <v>204</v>
      </c>
      <c r="H29" s="6" t="s">
        <v>201</v>
      </c>
    </row>
    <row r="30" customFormat="false" ht="105.95" hidden="false" customHeight="false" outlineLevel="0" collapsed="false">
      <c r="A30" s="6" t="s">
        <v>555</v>
      </c>
      <c r="B30" s="6" t="s">
        <v>527</v>
      </c>
      <c r="C30" s="6" t="s">
        <v>556</v>
      </c>
      <c r="D30" s="6" t="s">
        <v>48</v>
      </c>
      <c r="E30" s="6" t="s">
        <v>215</v>
      </c>
      <c r="F30" s="6" t="s">
        <v>216</v>
      </c>
      <c r="G30" s="6" t="s">
        <v>217</v>
      </c>
      <c r="H30" s="6" t="s">
        <v>214</v>
      </c>
    </row>
    <row r="31" customFormat="false" ht="95.5" hidden="false" customHeight="false" outlineLevel="0" collapsed="false">
      <c r="A31" s="6" t="s">
        <v>557</v>
      </c>
      <c r="B31" s="6" t="s">
        <v>558</v>
      </c>
      <c r="C31" s="6" t="s">
        <v>559</v>
      </c>
      <c r="D31" s="6" t="s">
        <v>229</v>
      </c>
      <c r="E31" s="6" t="s">
        <v>230</v>
      </c>
      <c r="F31" s="6" t="s">
        <v>231</v>
      </c>
      <c r="G31" s="6" t="s">
        <v>232</v>
      </c>
      <c r="H31" s="6" t="s">
        <v>228</v>
      </c>
    </row>
    <row r="32" customFormat="false" ht="85.05" hidden="false" customHeight="false" outlineLevel="0" collapsed="false">
      <c r="A32" s="6" t="s">
        <v>560</v>
      </c>
      <c r="B32" s="6" t="s">
        <v>561</v>
      </c>
      <c r="C32" s="6" t="s">
        <v>562</v>
      </c>
      <c r="D32" s="6" t="s">
        <v>229</v>
      </c>
      <c r="E32" s="6" t="s">
        <v>244</v>
      </c>
      <c r="F32" s="6" t="s">
        <v>245</v>
      </c>
      <c r="G32" s="6" t="s">
        <v>246</v>
      </c>
      <c r="H32" s="6" t="s">
        <v>243</v>
      </c>
    </row>
    <row r="33" customFormat="false" ht="74.6" hidden="false" customHeight="false" outlineLevel="0" collapsed="false">
      <c r="A33" s="6" t="s">
        <v>563</v>
      </c>
      <c r="B33" s="6" t="s">
        <v>561</v>
      </c>
      <c r="C33" s="6" t="s">
        <v>564</v>
      </c>
      <c r="D33" s="6" t="s">
        <v>229</v>
      </c>
      <c r="E33" s="6" t="s">
        <v>257</v>
      </c>
      <c r="F33" s="6" t="s">
        <v>258</v>
      </c>
      <c r="G33" s="6" t="s">
        <v>259</v>
      </c>
      <c r="H33" s="6" t="s">
        <v>256</v>
      </c>
    </row>
    <row r="34" customFormat="false" ht="116.4" hidden="false" customHeight="false" outlineLevel="0" collapsed="false">
      <c r="A34" s="6" t="s">
        <v>565</v>
      </c>
      <c r="B34" s="6" t="s">
        <v>561</v>
      </c>
      <c r="C34" s="6" t="s">
        <v>566</v>
      </c>
      <c r="D34" s="6" t="s">
        <v>229</v>
      </c>
      <c r="E34" s="6" t="s">
        <v>271</v>
      </c>
      <c r="F34" s="6" t="s">
        <v>272</v>
      </c>
      <c r="G34" s="6" t="s">
        <v>273</v>
      </c>
      <c r="H34" s="6" t="s">
        <v>269</v>
      </c>
    </row>
    <row r="35" customFormat="false" ht="74.6" hidden="false" customHeight="false" outlineLevel="0" collapsed="false">
      <c r="A35" s="6" t="s">
        <v>567</v>
      </c>
      <c r="B35" s="6" t="s">
        <v>558</v>
      </c>
      <c r="C35" s="6" t="s">
        <v>568</v>
      </c>
      <c r="D35" s="6" t="s">
        <v>229</v>
      </c>
      <c r="E35" s="6" t="s">
        <v>285</v>
      </c>
      <c r="F35" s="6" t="s">
        <v>286</v>
      </c>
      <c r="G35" s="6" t="s">
        <v>287</v>
      </c>
      <c r="H35" s="6" t="s">
        <v>284</v>
      </c>
    </row>
    <row r="36" customFormat="false" ht="158.2" hidden="false" customHeight="false" outlineLevel="0" collapsed="false">
      <c r="A36" s="6" t="s">
        <v>569</v>
      </c>
      <c r="B36" s="6" t="s">
        <v>570</v>
      </c>
      <c r="C36" s="6" t="s">
        <v>571</v>
      </c>
      <c r="D36" s="6" t="s">
        <v>229</v>
      </c>
      <c r="E36" s="6" t="s">
        <v>300</v>
      </c>
      <c r="F36" s="6" t="s">
        <v>301</v>
      </c>
      <c r="G36" s="6" t="s">
        <v>302</v>
      </c>
      <c r="H36" s="6" t="s">
        <v>298</v>
      </c>
    </row>
    <row r="37" customFormat="false" ht="105.95" hidden="false" customHeight="false" outlineLevel="0" collapsed="false">
      <c r="A37" s="6" t="s">
        <v>572</v>
      </c>
      <c r="B37" s="6" t="s">
        <v>573</v>
      </c>
      <c r="C37" s="6" t="s">
        <v>574</v>
      </c>
      <c r="D37" s="6" t="s">
        <v>315</v>
      </c>
      <c r="E37" s="6" t="s">
        <v>316</v>
      </c>
      <c r="F37" s="6" t="s">
        <v>317</v>
      </c>
      <c r="G37" s="6" t="s">
        <v>318</v>
      </c>
      <c r="H37" s="6" t="s">
        <v>314</v>
      </c>
    </row>
    <row r="38" customFormat="false" ht="95.5" hidden="false" customHeight="false" outlineLevel="0" collapsed="false">
      <c r="A38" s="6" t="s">
        <v>575</v>
      </c>
      <c r="B38" s="6" t="s">
        <v>535</v>
      </c>
      <c r="C38" s="6" t="s">
        <v>576</v>
      </c>
      <c r="D38" s="6" t="s">
        <v>329</v>
      </c>
      <c r="E38" s="6" t="s">
        <v>330</v>
      </c>
      <c r="F38" s="6" t="s">
        <v>331</v>
      </c>
      <c r="G38" s="6" t="s">
        <v>93</v>
      </c>
      <c r="H38" s="6" t="s">
        <v>328</v>
      </c>
    </row>
  </sheetData>
  <mergeCells count="2">
    <mergeCell ref="A1:W1"/>
    <mergeCell ref="A2:W2"/>
  </mergeCells>
  <conditionalFormatting sqref="W5:W12">
    <cfRule type="cellIs" priority="2" operator="equal"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24"/>
    <col collapsed="false" customWidth="true" hidden="false" outlineLevel="0" max="4" min="4" style="0" width="36"/>
    <col collapsed="false" customWidth="true" hidden="false" outlineLevel="0" max="5" min="5" style="0" width="44"/>
    <col collapsed="false" customWidth="true" hidden="false" outlineLevel="0" max="6" min="6" style="0" width="12"/>
  </cols>
  <sheetData>
    <row r="1" customFormat="false" ht="17.35" hidden="false" customHeight="false" outlineLevel="0" collapsed="false">
      <c r="A1" s="1" t="s">
        <v>577</v>
      </c>
      <c r="B1" s="1"/>
      <c r="C1" s="1"/>
      <c r="D1" s="1"/>
      <c r="E1" s="1"/>
      <c r="F1" s="1"/>
    </row>
    <row r="2" customFormat="false" ht="15" hidden="false" customHeight="false" outlineLevel="0" collapsed="false">
      <c r="A2" s="2" t="s">
        <v>578</v>
      </c>
      <c r="B2" s="2"/>
      <c r="C2" s="2"/>
      <c r="D2" s="2"/>
      <c r="E2" s="2"/>
      <c r="F2" s="2"/>
    </row>
    <row r="4" customFormat="false" ht="15" hidden="false" customHeight="false" outlineLevel="0" collapsed="false">
      <c r="A4" s="3" t="s">
        <v>579</v>
      </c>
      <c r="B4" s="3" t="s">
        <v>580</v>
      </c>
      <c r="C4" s="3" t="s">
        <v>581</v>
      </c>
      <c r="D4" s="3" t="s">
        <v>582</v>
      </c>
      <c r="E4" s="3" t="s">
        <v>583</v>
      </c>
      <c r="F4" s="3" t="s">
        <v>584</v>
      </c>
    </row>
    <row r="5" customFormat="false" ht="75" hidden="false" customHeight="true" outlineLevel="0" collapsed="false">
      <c r="A5" s="6" t="s">
        <v>585</v>
      </c>
      <c r="B5" s="6" t="s">
        <v>586</v>
      </c>
      <c r="C5" s="6" t="s">
        <v>587</v>
      </c>
      <c r="D5" s="6" t="s">
        <v>588</v>
      </c>
      <c r="E5" s="6" t="s">
        <v>589</v>
      </c>
      <c r="F5" s="5" t="s">
        <v>46</v>
      </c>
    </row>
    <row r="6" customFormat="false" ht="75" hidden="false" customHeight="true" outlineLevel="0" collapsed="false">
      <c r="A6" s="6" t="s">
        <v>590</v>
      </c>
      <c r="B6" s="6" t="s">
        <v>591</v>
      </c>
      <c r="C6" s="6" t="s">
        <v>592</v>
      </c>
      <c r="D6" s="6" t="s">
        <v>593</v>
      </c>
      <c r="E6" s="6" t="s">
        <v>594</v>
      </c>
      <c r="F6" s="5" t="s">
        <v>595</v>
      </c>
    </row>
    <row r="7" customFormat="false" ht="75" hidden="false" customHeight="true" outlineLevel="0" collapsed="false">
      <c r="A7" s="6" t="s">
        <v>596</v>
      </c>
      <c r="B7" s="6" t="s">
        <v>597</v>
      </c>
      <c r="C7" s="6" t="s">
        <v>592</v>
      </c>
      <c r="D7" s="6" t="s">
        <v>598</v>
      </c>
      <c r="E7" s="6" t="s">
        <v>599</v>
      </c>
      <c r="F7" s="5" t="s">
        <v>600</v>
      </c>
    </row>
    <row r="8" customFormat="false" ht="75" hidden="false" customHeight="true" outlineLevel="0" collapsed="false">
      <c r="A8" s="6" t="s">
        <v>601</v>
      </c>
      <c r="B8" s="6" t="s">
        <v>602</v>
      </c>
      <c r="C8" s="6" t="s">
        <v>603</v>
      </c>
      <c r="D8" s="6" t="s">
        <v>604</v>
      </c>
      <c r="E8" s="6" t="s">
        <v>605</v>
      </c>
      <c r="F8" s="5" t="s">
        <v>147</v>
      </c>
    </row>
    <row r="9" customFormat="false" ht="75" hidden="false" customHeight="true" outlineLevel="0" collapsed="false">
      <c r="A9" s="6" t="s">
        <v>606</v>
      </c>
      <c r="B9" s="6" t="s">
        <v>607</v>
      </c>
      <c r="C9" s="6" t="s">
        <v>592</v>
      </c>
      <c r="D9" s="6" t="s">
        <v>608</v>
      </c>
      <c r="E9" s="6" t="s">
        <v>609</v>
      </c>
      <c r="F9" s="5" t="s">
        <v>147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50"/>
  </cols>
  <sheetData>
    <row r="1" customFormat="false" ht="17.35" hidden="false" customHeight="false" outlineLevel="0" collapsed="false">
      <c r="A1" s="1" t="s">
        <v>610</v>
      </c>
      <c r="B1" s="1"/>
      <c r="C1" s="1"/>
    </row>
    <row r="2" customFormat="false" ht="15" hidden="false" customHeight="false" outlineLevel="0" collapsed="false">
      <c r="A2" s="2" t="s">
        <v>611</v>
      </c>
      <c r="B2" s="2"/>
      <c r="C2" s="2"/>
    </row>
    <row r="4" customFormat="false" ht="15" hidden="false" customHeight="false" outlineLevel="0" collapsed="false">
      <c r="A4" s="3" t="s">
        <v>612</v>
      </c>
      <c r="B4" s="3" t="s">
        <v>613</v>
      </c>
      <c r="C4" s="3" t="s">
        <v>614</v>
      </c>
    </row>
    <row r="5" customFormat="false" ht="15" hidden="false" customHeight="false" outlineLevel="0" collapsed="false">
      <c r="A5" s="6" t="s">
        <v>615</v>
      </c>
      <c r="B5" s="5" t="n">
        <f aca="false">COUNTA('Priorización de Requerimientos'!$A$5:$A$25)</f>
        <v>21</v>
      </c>
      <c r="C5" s="6" t="s">
        <v>616</v>
      </c>
    </row>
    <row r="6" customFormat="false" ht="15" hidden="false" customHeight="false" outlineLevel="0" collapsed="false">
      <c r="A6" s="6" t="s">
        <v>617</v>
      </c>
      <c r="B6" s="5" t="n">
        <f aca="false">COUNTIF('Priorización de Requerimientos'!$J$5:$J$25,"Sí")</f>
        <v>21</v>
      </c>
      <c r="C6" s="6" t="s">
        <v>618</v>
      </c>
    </row>
    <row r="7" customFormat="false" ht="15" hidden="false" customHeight="false" outlineLevel="0" collapsed="false">
      <c r="A7" s="6" t="s">
        <v>619</v>
      </c>
      <c r="B7" s="5" t="n">
        <f aca="false">COUNTIF('Priorización de Requerimientos'!$L$5:$L$25,"Sí")</f>
        <v>18</v>
      </c>
      <c r="C7" s="6" t="s">
        <v>620</v>
      </c>
    </row>
    <row r="8" customFormat="false" ht="15" hidden="false" customHeight="false" outlineLevel="0" collapsed="false">
      <c r="A8" s="6" t="s">
        <v>621</v>
      </c>
      <c r="B8" s="5" t="n">
        <f aca="false">COUNTIF('Priorización de Requerimientos'!$U$5:$U$25,"Refinado")</f>
        <v>21</v>
      </c>
      <c r="C8" s="6" t="s">
        <v>622</v>
      </c>
    </row>
    <row r="9" customFormat="false" ht="15" hidden="false" customHeight="false" outlineLevel="0" collapsed="false">
      <c r="A9" s="6" t="s">
        <v>623</v>
      </c>
      <c r="B9" s="5" t="n">
        <f aca="false">B5-B8</f>
        <v>0</v>
      </c>
      <c r="C9" s="6" t="s">
        <v>624</v>
      </c>
    </row>
    <row r="10" customFormat="false" ht="15" hidden="false" customHeight="false" outlineLevel="0" collapsed="false">
      <c r="A10" s="6" t="s">
        <v>625</v>
      </c>
      <c r="B10" s="5" t="n">
        <f aca="false">COUNTIF('Priorización de Requerimientos'!$N$5:$N$25,"Sí")</f>
        <v>9</v>
      </c>
      <c r="C10" s="6" t="s">
        <v>626</v>
      </c>
    </row>
    <row r="11" customFormat="false" ht="15" hidden="false" customHeight="false" outlineLevel="0" collapsed="false">
      <c r="A11" s="6" t="s">
        <v>627</v>
      </c>
      <c r="B11" s="5" t="n">
        <f aca="false">COUNTIF('Priorización de Requerimientos'!$P$5:$P$25,"Sí")</f>
        <v>0</v>
      </c>
      <c r="C11" s="6" t="s">
        <v>628</v>
      </c>
    </row>
    <row r="12" customFormat="false" ht="15" hidden="false" customHeight="false" outlineLevel="0" collapsed="false">
      <c r="A12" s="6" t="s">
        <v>629</v>
      </c>
      <c r="B12" s="5" t="n">
        <f aca="false">SUM('Priorización de Requerimientos'!$M$5:$M$25)</f>
        <v>61</v>
      </c>
      <c r="C12" s="6" t="s">
        <v>630</v>
      </c>
    </row>
    <row r="13" customFormat="false" ht="15" hidden="false" customHeight="false" outlineLevel="0" collapsed="false">
      <c r="A13" s="6" t="s">
        <v>631</v>
      </c>
      <c r="B13" s="5" t="n">
        <f aca="false">SUMIFS('Priorización de Requerimientos'!$M$5:$M$25,'Priorización de Requerimientos'!$Y$5:$Y$25,"CU-02*")</f>
        <v>19</v>
      </c>
      <c r="C13" s="6" t="s">
        <v>632</v>
      </c>
    </row>
    <row r="14" customFormat="false" ht="15" hidden="false" customHeight="false" outlineLevel="0" collapsed="false">
      <c r="A14" s="6" t="s">
        <v>633</v>
      </c>
      <c r="B14" s="14" t="n">
        <f aca="false">IFERROR(B8/B5,0)</f>
        <v>1</v>
      </c>
      <c r="C14" s="6" t="s">
        <v>634</v>
      </c>
    </row>
    <row r="15" customFormat="false" ht="15" hidden="false" customHeight="false" outlineLevel="0" collapsed="false">
      <c r="A15" s="6" t="s">
        <v>635</v>
      </c>
      <c r="B15" s="14" t="n">
        <f aca="false">IFERROR(B6/B5,0)</f>
        <v>1</v>
      </c>
      <c r="C15" s="6" t="s">
        <v>636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2"/>
    <col collapsed="false" customWidth="true" hidden="false" outlineLevel="0" max="4" min="4" style="0" width="100"/>
  </cols>
  <sheetData>
    <row r="1" customFormat="false" ht="17.35" hidden="false" customHeight="false" outlineLevel="0" collapsed="false">
      <c r="A1" s="1" t="s">
        <v>637</v>
      </c>
      <c r="B1" s="1"/>
      <c r="C1" s="1"/>
      <c r="D1" s="1"/>
    </row>
    <row r="2" customFormat="false" ht="15" hidden="false" customHeight="false" outlineLevel="0" collapsed="false">
      <c r="A2" s="2" t="s">
        <v>638</v>
      </c>
      <c r="B2" s="2"/>
      <c r="C2" s="2"/>
      <c r="D2" s="2"/>
    </row>
    <row r="4" customFormat="false" ht="15" hidden="false" customHeight="false" outlineLevel="0" collapsed="false">
      <c r="A4" s="3" t="s">
        <v>23</v>
      </c>
      <c r="B4" s="3" t="s">
        <v>584</v>
      </c>
      <c r="C4" s="3" t="s">
        <v>639</v>
      </c>
      <c r="D4" s="3" t="s">
        <v>640</v>
      </c>
    </row>
    <row r="5" customFormat="false" ht="15" hidden="false" customHeight="false" outlineLevel="0" collapsed="false">
      <c r="A5" s="5" t="s">
        <v>45</v>
      </c>
      <c r="B5" s="5" t="s">
        <v>46</v>
      </c>
      <c r="C5" s="6" t="s">
        <v>641</v>
      </c>
      <c r="D5" s="6" t="s">
        <v>642</v>
      </c>
    </row>
    <row r="6" customFormat="false" ht="15" hidden="false" customHeight="false" outlineLevel="0" collapsed="false">
      <c r="A6" s="5" t="s">
        <v>643</v>
      </c>
      <c r="B6" s="5" t="s">
        <v>595</v>
      </c>
      <c r="C6" s="6" t="s">
        <v>641</v>
      </c>
      <c r="D6" s="6" t="s">
        <v>644</v>
      </c>
    </row>
    <row r="7" customFormat="false" ht="32.8" hidden="false" customHeight="false" outlineLevel="0" collapsed="false">
      <c r="A7" s="5" t="s">
        <v>146</v>
      </c>
      <c r="B7" s="5" t="s">
        <v>147</v>
      </c>
      <c r="C7" s="6" t="s">
        <v>641</v>
      </c>
      <c r="D7" s="6" t="s">
        <v>645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2026-10-19T15:32:47Z</dcterms:created>
  <dc:creator>openpyxl</dc:creator>
  <dc:description/>
  <dc:language>en-US</dc:language>
  <cp:lastModifiedBy/>
  <dcterms:modified xsi:type="dcterms:W3CDTF">2026-10-19T15:32:48Z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